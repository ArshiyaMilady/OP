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hidePivotFieldList="1"/>
  <workbookProtection lockStructure="1"/>
  <bookViews>
    <workbookView xWindow="-120" yWindow="-120" windowWidth="20640" windowHeight="11160" tabRatio="886" activeTab="2"/>
  </bookViews>
  <sheets>
    <sheet name="Data" sheetId="33" r:id="rId1"/>
    <sheet name="راهنما" sheetId="30" r:id="rId2"/>
    <sheet name="Link" sheetId="27" r:id="rId3"/>
    <sheet name="Shop_CheckList" sheetId="29" r:id="rId4"/>
    <sheet name="SV_Karfarma" sheetId="31" r:id="rId5"/>
    <sheet name="SV_Nasab" sheetId="32" r:id="rId6"/>
  </sheets>
  <definedNames>
    <definedName name="_xlnm._FilterDatabase" localSheetId="2" hidden="1">Link!$A$1:$E$90</definedName>
    <definedName name="_xlnm._FilterDatabase" localSheetId="3" hidden="1">Shop_CheckList!$A$1:$H$142</definedName>
    <definedName name="_xlnm._FilterDatabase" localSheetId="4" hidden="1">SV_Karfarma!$A$1:$G$98</definedName>
    <definedName name="_xlnm._FilterDatabase" localSheetId="5" hidden="1">SV_Nasab!$A$1:$G$103</definedName>
    <definedName name="A">#REF!</definedName>
    <definedName name="MA">#REF!</definedName>
    <definedName name="Mat">#REF!</definedName>
    <definedName name="name">#REF!</definedName>
    <definedName name="_xlnm.Print_Titles" localSheetId="3">Shop_CheckList!$1:$1</definedName>
    <definedName name="Pvc">#REF!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9" i="32" l="1"/>
  <c r="E88" i="32"/>
  <c r="E87" i="32"/>
  <c r="E86" i="32"/>
  <c r="E85" i="32"/>
  <c r="E84" i="32"/>
  <c r="E83" i="32"/>
  <c r="E82" i="32"/>
  <c r="E81" i="32"/>
  <c r="E80" i="32"/>
  <c r="E79" i="32"/>
  <c r="E78" i="32"/>
  <c r="E77" i="32"/>
  <c r="E76" i="32"/>
  <c r="E75" i="32"/>
  <c r="E74" i="32"/>
  <c r="E73" i="32"/>
  <c r="E72" i="32"/>
  <c r="E71" i="32"/>
  <c r="E70" i="32"/>
  <c r="E69" i="32"/>
  <c r="E68" i="32"/>
  <c r="E67" i="32"/>
  <c r="E66" i="32"/>
  <c r="E65" i="32"/>
  <c r="E64" i="32"/>
  <c r="E63" i="32"/>
  <c r="E62" i="32"/>
  <c r="E61" i="32"/>
  <c r="E60" i="32"/>
  <c r="E59" i="32"/>
  <c r="E58" i="32"/>
  <c r="E57" i="32"/>
  <c r="E56" i="32"/>
  <c r="E55" i="32"/>
  <c r="E54" i="32"/>
  <c r="E53" i="32"/>
  <c r="E52" i="32"/>
  <c r="E51" i="32"/>
  <c r="E50" i="32"/>
  <c r="E49" i="32"/>
  <c r="E48" i="32"/>
  <c r="E47" i="32"/>
  <c r="E46" i="32"/>
  <c r="E45" i="32"/>
  <c r="E44" i="32"/>
  <c r="E43" i="32"/>
  <c r="E42" i="32"/>
  <c r="E41" i="32"/>
  <c r="E40" i="32"/>
  <c r="E39" i="32"/>
  <c r="E38" i="32"/>
  <c r="E37" i="32"/>
  <c r="E36" i="32"/>
  <c r="E35" i="32"/>
  <c r="E34" i="32"/>
  <c r="E33" i="32"/>
  <c r="E32" i="32"/>
  <c r="E31" i="32"/>
  <c r="E30" i="32"/>
  <c r="E29" i="32"/>
  <c r="E28" i="32"/>
  <c r="E27" i="32"/>
  <c r="E26" i="32"/>
  <c r="E25" i="32"/>
  <c r="E24" i="32"/>
  <c r="E23" i="32"/>
  <c r="E22" i="32"/>
  <c r="E21" i="32"/>
  <c r="E20" i="32"/>
  <c r="E19" i="32"/>
  <c r="E18" i="32"/>
  <c r="E17" i="32"/>
  <c r="E16" i="32"/>
  <c r="E15" i="32"/>
  <c r="E14" i="32"/>
  <c r="E13" i="32"/>
  <c r="E12" i="32"/>
  <c r="E11" i="32"/>
  <c r="E10" i="32"/>
  <c r="E9" i="32"/>
  <c r="E8" i="32"/>
  <c r="E7" i="32"/>
  <c r="E6" i="32"/>
  <c r="E5" i="32"/>
  <c r="E4" i="32"/>
  <c r="E3" i="32"/>
  <c r="E2" i="32"/>
  <c r="E89" i="31"/>
  <c r="E88" i="31"/>
  <c r="E87" i="31"/>
  <c r="E86" i="31"/>
  <c r="E85" i="31"/>
  <c r="E84" i="31"/>
  <c r="E83" i="31"/>
  <c r="E82" i="31"/>
  <c r="E81" i="31"/>
  <c r="E80" i="31"/>
  <c r="E79" i="31"/>
  <c r="E78" i="31"/>
  <c r="E77" i="31"/>
  <c r="E76" i="31"/>
  <c r="E75" i="31"/>
  <c r="E74" i="31"/>
  <c r="E73" i="31"/>
  <c r="E72" i="31"/>
  <c r="E71" i="31"/>
  <c r="E70" i="31"/>
  <c r="E69" i="31"/>
  <c r="E68" i="31"/>
  <c r="E67" i="31"/>
  <c r="E66" i="31"/>
  <c r="E65" i="31"/>
  <c r="E64" i="31"/>
  <c r="E63" i="31"/>
  <c r="E62" i="31"/>
  <c r="E61" i="31"/>
  <c r="E60" i="31"/>
  <c r="E59" i="31"/>
  <c r="E58" i="31"/>
  <c r="E57" i="31"/>
  <c r="E56" i="31"/>
  <c r="E55" i="31"/>
  <c r="E54" i="31"/>
  <c r="E53" i="31"/>
  <c r="E52" i="31"/>
  <c r="E51" i="31"/>
  <c r="E50" i="31"/>
  <c r="E49" i="31"/>
  <c r="E48" i="31"/>
  <c r="E47" i="31"/>
  <c r="E46" i="31"/>
  <c r="E45" i="31"/>
  <c r="E44" i="31"/>
  <c r="E43" i="31"/>
  <c r="E42" i="31"/>
  <c r="E41" i="31"/>
  <c r="E40" i="31"/>
  <c r="E39" i="31"/>
  <c r="E38" i="31"/>
  <c r="E37" i="31"/>
  <c r="E36" i="31"/>
  <c r="E35" i="31"/>
  <c r="E34" i="31"/>
  <c r="E33" i="31"/>
  <c r="E32" i="31"/>
  <c r="E31" i="31"/>
  <c r="E30" i="31"/>
  <c r="E29" i="31"/>
  <c r="E28" i="31"/>
  <c r="E27" i="31"/>
  <c r="E26" i="31"/>
  <c r="E25" i="31"/>
  <c r="E24" i="31"/>
  <c r="E23" i="31"/>
  <c r="E22" i="31"/>
  <c r="E21" i="31"/>
  <c r="E20" i="31"/>
  <c r="E19" i="31"/>
  <c r="E18" i="31"/>
  <c r="E17" i="31"/>
  <c r="E16" i="31"/>
  <c r="E15" i="31"/>
  <c r="E14" i="31"/>
  <c r="E13" i="31"/>
  <c r="E12" i="31"/>
  <c r="E11" i="31"/>
  <c r="E10" i="31"/>
  <c r="E9" i="31"/>
  <c r="E8" i="31"/>
  <c r="E7" i="31"/>
  <c r="E6" i="31"/>
  <c r="E5" i="31"/>
  <c r="E4" i="31"/>
  <c r="E3" i="31"/>
  <c r="E2" i="31"/>
  <c r="F138" i="29"/>
  <c r="F137" i="29"/>
  <c r="F136" i="29"/>
  <c r="F135" i="29"/>
  <c r="F134" i="29"/>
  <c r="F133" i="29"/>
  <c r="F132" i="29"/>
  <c r="F131" i="29"/>
  <c r="F130" i="29"/>
  <c r="F129" i="29"/>
  <c r="F128" i="29"/>
  <c r="F127" i="29"/>
  <c r="F126" i="29"/>
  <c r="F125" i="29"/>
  <c r="F124" i="29"/>
  <c r="F123" i="29"/>
  <c r="F122" i="29"/>
  <c r="F121" i="29"/>
  <c r="F120" i="29"/>
  <c r="F119" i="29"/>
  <c r="F118" i="29"/>
  <c r="F117" i="29"/>
  <c r="F116" i="29"/>
  <c r="F115" i="29"/>
  <c r="F114" i="29"/>
  <c r="F113" i="29"/>
  <c r="F112" i="29"/>
  <c r="F111" i="29"/>
  <c r="F110" i="29"/>
  <c r="F109" i="29"/>
  <c r="F108" i="29"/>
  <c r="F107" i="29"/>
  <c r="F106" i="29"/>
  <c r="F105" i="29"/>
  <c r="F104" i="29"/>
  <c r="F103" i="29"/>
  <c r="F102" i="29"/>
  <c r="F101" i="29"/>
  <c r="F100" i="29"/>
  <c r="F99" i="29"/>
  <c r="F98" i="29"/>
  <c r="F97" i="29"/>
  <c r="F96" i="29"/>
  <c r="F95" i="29"/>
  <c r="F94" i="29"/>
  <c r="F93" i="29"/>
  <c r="F92" i="29"/>
  <c r="F91" i="29"/>
  <c r="F90" i="29"/>
  <c r="F89" i="29"/>
  <c r="F88" i="29"/>
  <c r="F87" i="29"/>
  <c r="F86" i="29"/>
  <c r="F85" i="29"/>
  <c r="F84" i="29"/>
  <c r="F83" i="29"/>
  <c r="F82" i="29"/>
  <c r="F81" i="29"/>
  <c r="F80" i="29"/>
  <c r="F79" i="29"/>
  <c r="F78" i="29"/>
  <c r="F77" i="29"/>
  <c r="F76" i="29"/>
  <c r="F75" i="29"/>
  <c r="F74" i="29"/>
  <c r="F73" i="29"/>
  <c r="F72" i="29"/>
  <c r="F71" i="29"/>
  <c r="F70" i="29"/>
  <c r="F69" i="29"/>
  <c r="F68" i="29"/>
  <c r="F67" i="29"/>
  <c r="F66" i="29"/>
  <c r="F65" i="29"/>
  <c r="F64" i="29"/>
  <c r="F63" i="29"/>
  <c r="F62" i="29"/>
  <c r="F61" i="29"/>
  <c r="F60" i="29"/>
  <c r="F59" i="29"/>
  <c r="F58" i="29"/>
  <c r="F57" i="29"/>
  <c r="F56" i="29"/>
  <c r="F55" i="29"/>
  <c r="F54" i="29"/>
  <c r="F53" i="29"/>
  <c r="F52" i="29"/>
  <c r="F51" i="29"/>
  <c r="F50" i="29"/>
  <c r="F49" i="29"/>
  <c r="F48" i="29"/>
  <c r="F47" i="29"/>
  <c r="F46" i="29"/>
  <c r="F45" i="29"/>
  <c r="F44" i="29"/>
  <c r="F43" i="29"/>
  <c r="F42" i="29"/>
  <c r="F41" i="29"/>
  <c r="F40" i="29"/>
  <c r="F39" i="29"/>
  <c r="F38" i="29"/>
  <c r="F37" i="29"/>
  <c r="F36" i="29"/>
  <c r="F35" i="29"/>
  <c r="F34" i="29"/>
  <c r="F33" i="29"/>
  <c r="F32" i="29"/>
  <c r="F31" i="29"/>
  <c r="F30" i="29"/>
  <c r="F29" i="29"/>
  <c r="F28" i="29"/>
  <c r="F27" i="29"/>
  <c r="F26" i="29"/>
  <c r="F25" i="29"/>
  <c r="F24" i="29"/>
  <c r="F23" i="29"/>
  <c r="F22" i="29"/>
  <c r="F21" i="29"/>
  <c r="F20" i="29"/>
  <c r="F19" i="29"/>
  <c r="F18" i="29"/>
  <c r="F17" i="29"/>
  <c r="F16" i="29"/>
  <c r="F15" i="29"/>
  <c r="F14" i="29"/>
  <c r="F13" i="29"/>
  <c r="F12" i="29"/>
  <c r="F11" i="29"/>
  <c r="F10" i="29"/>
  <c r="F9" i="29"/>
  <c r="F8" i="29"/>
  <c r="F7" i="29"/>
  <c r="F6" i="29"/>
  <c r="F5" i="29"/>
  <c r="F4" i="29"/>
  <c r="F3" i="29"/>
  <c r="F2" i="29"/>
  <c r="AK90" i="27"/>
  <c r="AH90" i="27" l="1"/>
  <c r="AC90" i="27"/>
  <c r="AB90" i="27"/>
  <c r="AA90" i="27"/>
  <c r="F139" i="29" s="1"/>
  <c r="Z90" i="27"/>
  <c r="F140" i="29" l="1"/>
  <c r="F142" i="29" l="1"/>
  <c r="D2" i="33"/>
  <c r="F2" i="33" l="1"/>
  <c r="E2" i="33" s="1"/>
  <c r="G91" i="32"/>
  <c r="G90" i="32" l="1"/>
  <c r="G92" i="32"/>
  <c r="G93" i="32"/>
  <c r="G97" i="32"/>
  <c r="G95" i="32"/>
  <c r="G94" i="32"/>
  <c r="G89" i="32"/>
  <c r="G88" i="32"/>
  <c r="G87" i="32"/>
  <c r="G86" i="32"/>
  <c r="G85" i="32"/>
  <c r="G84" i="32"/>
  <c r="G83" i="32"/>
  <c r="G82" i="32"/>
  <c r="G81" i="32"/>
  <c r="G80" i="32"/>
  <c r="G79" i="32"/>
  <c r="G78" i="32"/>
  <c r="G77" i="32"/>
  <c r="G76" i="32"/>
  <c r="G75" i="32"/>
  <c r="G74" i="32"/>
  <c r="G73" i="32"/>
  <c r="G72" i="32"/>
  <c r="G71" i="32"/>
  <c r="G70" i="32"/>
  <c r="G69" i="32"/>
  <c r="G68" i="32"/>
  <c r="G67" i="32"/>
  <c r="G66" i="32"/>
  <c r="G65" i="32"/>
  <c r="G64" i="32"/>
  <c r="G63" i="32"/>
  <c r="G62" i="32"/>
  <c r="G61" i="32"/>
  <c r="G60" i="32"/>
  <c r="G59" i="32"/>
  <c r="G58" i="32"/>
  <c r="G57" i="32"/>
  <c r="G56" i="32"/>
  <c r="G55" i="32"/>
  <c r="G54" i="32"/>
  <c r="G53" i="32"/>
  <c r="G52" i="32"/>
  <c r="G51" i="32"/>
  <c r="G50" i="32"/>
  <c r="G49" i="32"/>
  <c r="G48" i="32"/>
  <c r="G47" i="32"/>
  <c r="G46" i="32"/>
  <c r="G45" i="32"/>
  <c r="G44" i="32"/>
  <c r="G43" i="32"/>
  <c r="G42" i="32"/>
  <c r="G41" i="32"/>
  <c r="G40" i="32"/>
  <c r="G39" i="32"/>
  <c r="G38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G22" i="32"/>
  <c r="G21" i="32"/>
  <c r="G20" i="32"/>
  <c r="G19" i="32"/>
  <c r="G18" i="32"/>
  <c r="G17" i="32"/>
  <c r="G16" i="32"/>
  <c r="G15" i="32"/>
  <c r="G14" i="32"/>
  <c r="G13" i="32"/>
  <c r="G12" i="32"/>
  <c r="G11" i="32"/>
  <c r="G10" i="32"/>
  <c r="G9" i="32"/>
  <c r="G8" i="32"/>
  <c r="G7" i="32"/>
  <c r="G6" i="32"/>
  <c r="G5" i="32"/>
  <c r="G4" i="32"/>
  <c r="G3" i="32"/>
  <c r="G2" i="32"/>
  <c r="G90" i="31"/>
  <c r="G91" i="31"/>
  <c r="G92" i="31"/>
  <c r="E98" i="32" l="1"/>
  <c r="G3" i="31"/>
  <c r="G4" i="31"/>
  <c r="G5" i="31"/>
  <c r="G6" i="31"/>
  <c r="G7" i="31"/>
  <c r="G8" i="31"/>
  <c r="G9" i="31"/>
  <c r="G10" i="31"/>
  <c r="G11" i="31"/>
  <c r="G12" i="31"/>
  <c r="G13" i="31"/>
  <c r="G14" i="31"/>
  <c r="G15" i="31"/>
  <c r="G16" i="31"/>
  <c r="G17" i="31"/>
  <c r="G18" i="31"/>
  <c r="G19" i="31"/>
  <c r="G20" i="31"/>
  <c r="G21" i="31"/>
  <c r="G22" i="31"/>
  <c r="G23" i="31"/>
  <c r="G24" i="31"/>
  <c r="G25" i="31"/>
  <c r="G26" i="31"/>
  <c r="G27" i="31"/>
  <c r="G28" i="31"/>
  <c r="G29" i="31"/>
  <c r="G30" i="31"/>
  <c r="G31" i="31"/>
  <c r="G32" i="31"/>
  <c r="G33" i="31"/>
  <c r="G34" i="31"/>
  <c r="G35" i="31"/>
  <c r="G36" i="31"/>
  <c r="G37" i="31"/>
  <c r="G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6" i="31"/>
  <c r="G57" i="31"/>
  <c r="G58" i="31"/>
  <c r="G59" i="31"/>
  <c r="G60" i="31"/>
  <c r="G61" i="31"/>
  <c r="G62" i="31"/>
  <c r="G63" i="31"/>
  <c r="G64" i="31"/>
  <c r="G65" i="31"/>
  <c r="G66" i="31"/>
  <c r="G67" i="31"/>
  <c r="G68" i="31"/>
  <c r="G69" i="31"/>
  <c r="G70" i="31"/>
  <c r="G71" i="31"/>
  <c r="G72" i="31"/>
  <c r="G73" i="31"/>
  <c r="G74" i="31"/>
  <c r="G75" i="31"/>
  <c r="G76" i="31"/>
  <c r="G77" i="31"/>
  <c r="G78" i="31"/>
  <c r="G79" i="31"/>
  <c r="G80" i="31"/>
  <c r="G81" i="31"/>
  <c r="G82" i="31"/>
  <c r="G83" i="31"/>
  <c r="G84" i="31"/>
  <c r="G85" i="31"/>
  <c r="G86" i="31"/>
  <c r="G87" i="31"/>
  <c r="G88" i="31"/>
  <c r="G89" i="31"/>
  <c r="G2" i="31"/>
  <c r="E98" i="31" l="1"/>
</calcChain>
</file>

<file path=xl/sharedStrings.xml><?xml version="1.0" encoding="utf-8"?>
<sst xmlns="http://schemas.openxmlformats.org/spreadsheetml/2006/main" count="1006" uniqueCount="555">
  <si>
    <t>ردیف</t>
  </si>
  <si>
    <t>SHC_003</t>
  </si>
  <si>
    <t>BC_002</t>
  </si>
  <si>
    <t>BC_001</t>
  </si>
  <si>
    <t>SHC_002</t>
  </si>
  <si>
    <t>KK_002</t>
  </si>
  <si>
    <t>KL_002</t>
  </si>
  <si>
    <t>CL_001</t>
  </si>
  <si>
    <t>FS_001</t>
  </si>
  <si>
    <t>FS_002</t>
  </si>
  <si>
    <t>FS_004</t>
  </si>
  <si>
    <t>FS_005</t>
  </si>
  <si>
    <t>ISL_001</t>
  </si>
  <si>
    <t>ISL_003</t>
  </si>
  <si>
    <t>ISL_004</t>
  </si>
  <si>
    <t>ISL_005</t>
  </si>
  <si>
    <t>ISL_006</t>
  </si>
  <si>
    <t>ISL_008</t>
  </si>
  <si>
    <t>ISL_010</t>
  </si>
  <si>
    <t>ISL_011</t>
  </si>
  <si>
    <t>LW_001</t>
  </si>
  <si>
    <t>LW_004</t>
  </si>
  <si>
    <t>TS_002</t>
  </si>
  <si>
    <t>TS_005</t>
  </si>
  <si>
    <t>VS_002</t>
  </si>
  <si>
    <t>VS_001</t>
  </si>
  <si>
    <t>VP_001</t>
  </si>
  <si>
    <t>VP_002</t>
  </si>
  <si>
    <t>VP_003</t>
  </si>
  <si>
    <t>باکس جزیره</t>
  </si>
  <si>
    <t>باکس مکعبی کوتاه</t>
  </si>
  <si>
    <t>TV ROOM</t>
  </si>
  <si>
    <t>کانتر</t>
  </si>
  <si>
    <t>کمد</t>
  </si>
  <si>
    <t>BR_L_001F</t>
  </si>
  <si>
    <t>BR_L_007F</t>
  </si>
  <si>
    <t>آشپزخانه</t>
  </si>
  <si>
    <t>KB_002F</t>
  </si>
  <si>
    <t>CO_001F</t>
  </si>
  <si>
    <t>CT_001F</t>
  </si>
  <si>
    <t>شلف اکسسوری 1و2</t>
  </si>
  <si>
    <t>SH_002F</t>
  </si>
  <si>
    <t>TR_002F</t>
  </si>
  <si>
    <t xml:space="preserve">اون و ماکروفر دوتایی </t>
  </si>
  <si>
    <t>ماشین لباسشویی دوتایی</t>
  </si>
  <si>
    <t xml:space="preserve">ماشین لباسشویی و ماشین ظرفشویی </t>
  </si>
  <si>
    <t xml:space="preserve">گاز روکار </t>
  </si>
  <si>
    <t xml:space="preserve">گاز مبله </t>
  </si>
  <si>
    <t>لوگو وال</t>
  </si>
  <si>
    <t>استند TV</t>
  </si>
  <si>
    <t xml:space="preserve">ویترین </t>
  </si>
  <si>
    <t xml:space="preserve">باکس مکعبی بلند </t>
  </si>
  <si>
    <t>نام ماژول:</t>
  </si>
  <si>
    <t>کد ماژول</t>
  </si>
  <si>
    <t>نام فارسی</t>
  </si>
  <si>
    <t>کافه</t>
  </si>
  <si>
    <t>میز حجم</t>
  </si>
  <si>
    <t>BR_L_002F</t>
  </si>
  <si>
    <t>BR_L_003F</t>
  </si>
  <si>
    <t>BR_L_004F</t>
  </si>
  <si>
    <t>BR_L_005F</t>
  </si>
  <si>
    <t>BR_L_006F</t>
  </si>
  <si>
    <t>BR_L_008F</t>
  </si>
  <si>
    <t>BR_L_009F</t>
  </si>
  <si>
    <t>BR_S_001F</t>
  </si>
  <si>
    <t>BR_S_002F</t>
  </si>
  <si>
    <t>BR_S_003F</t>
  </si>
  <si>
    <t>SHC_001</t>
  </si>
  <si>
    <t>شلف طبقات کوچک</t>
  </si>
  <si>
    <t>شلف طبقات متوسط</t>
  </si>
  <si>
    <t>شلف طبقات بزرگ</t>
  </si>
  <si>
    <t>KB_001F</t>
  </si>
  <si>
    <t>آشپزخانه بزرگ</t>
  </si>
  <si>
    <t>آشپزخانه متوسط</t>
  </si>
  <si>
    <t>KB_003F</t>
  </si>
  <si>
    <t>آشپزخانه کوچک</t>
  </si>
  <si>
    <t>KK_001F</t>
  </si>
  <si>
    <t>جزیره آشپزخانه بزرگ</t>
  </si>
  <si>
    <t>جزیره آشپزخانه متوسط</t>
  </si>
  <si>
    <t>KK_003</t>
  </si>
  <si>
    <t>جزیره آشپزخانه کوچک</t>
  </si>
  <si>
    <t>KL_001</t>
  </si>
  <si>
    <t>تاپر قسمت استیشن جزیره بزرگ-1400-ارتفاع:400</t>
  </si>
  <si>
    <t>تاپر قسمت استیشن جزیره کوچک -900-ارتفاع:400</t>
  </si>
  <si>
    <t>تاپر-2800-ارتفاع:400</t>
  </si>
  <si>
    <t>CL_002</t>
  </si>
  <si>
    <t>تاپر-2300-ارتفاع:400</t>
  </si>
  <si>
    <t>CL_003</t>
  </si>
  <si>
    <t>تاپر-2800-ارتفاع:200</t>
  </si>
  <si>
    <t>CL_004</t>
  </si>
  <si>
    <t>تاپر-2300-ارتفاع:200</t>
  </si>
  <si>
    <t>میز ال-1280</t>
  </si>
  <si>
    <t>میز-1520</t>
  </si>
  <si>
    <t>CT_002F</t>
  </si>
  <si>
    <t>میز-1020</t>
  </si>
  <si>
    <t>SH_001F</t>
  </si>
  <si>
    <t>شلف لوازم خانگی بزرگ- 3200-ارتفاع:2600</t>
  </si>
  <si>
    <t>شلف لوازم خانگی کوچک-1800-ارتفاع:2600</t>
  </si>
  <si>
    <t>SH_003F</t>
  </si>
  <si>
    <t>شلف لوازم خانگی متوسط- 2400-ارتفاع:2600</t>
  </si>
  <si>
    <t>شلف لوازم خانگی بزرگ- 3200-ارتفاع:2120</t>
  </si>
  <si>
    <t>شلف لوازم خانگی کوچک-1800-ارتفاع:2120</t>
  </si>
  <si>
    <t>شلف لوازم خانگی متوسط- 2400-ارتفاع:2120</t>
  </si>
  <si>
    <t>TR_001F</t>
  </si>
  <si>
    <t>شلف TV -2400</t>
  </si>
  <si>
    <t>شلف TV -1800</t>
  </si>
  <si>
    <t xml:space="preserve">استند یخچال </t>
  </si>
  <si>
    <t>دوقلو-ارتفاع:2600</t>
  </si>
  <si>
    <t>ساید -ارتفاع:2600</t>
  </si>
  <si>
    <t>FS_003</t>
  </si>
  <si>
    <t>کامبی1-ارتفاع:2600</t>
  </si>
  <si>
    <t>کامبی2-ارتفاع:2600</t>
  </si>
  <si>
    <t>کامبی3-ارتفاع:2600</t>
  </si>
  <si>
    <t>FS_001SL</t>
  </si>
  <si>
    <t>دوقلو -ارتفاع:2060</t>
  </si>
  <si>
    <t>FS_002SL</t>
  </si>
  <si>
    <t>ساید -ارتفاع:2080</t>
  </si>
  <si>
    <t>FS_003SL</t>
  </si>
  <si>
    <t>کامبی1 -ارتفاع:2080</t>
  </si>
  <si>
    <t>FS_004SL</t>
  </si>
  <si>
    <t>کامبی2 -ارتفاع:2260</t>
  </si>
  <si>
    <t>FS_005SL</t>
  </si>
  <si>
    <t>کامبی3-ارتفاع:2060</t>
  </si>
  <si>
    <t>جزیره گالری(آیلند)</t>
  </si>
  <si>
    <t>ISL_002</t>
  </si>
  <si>
    <t xml:space="preserve">اون و ماکروفر سه تایی </t>
  </si>
  <si>
    <t>ISL_007</t>
  </si>
  <si>
    <t xml:space="preserve">گاز دوتایی </t>
  </si>
  <si>
    <t>ISL_009</t>
  </si>
  <si>
    <t>لوگو وال پشت کانتر-ارتفاع:2200</t>
  </si>
  <si>
    <t>LW_002</t>
  </si>
  <si>
    <t>لوگو وال ویترین-ارتفاع:2600</t>
  </si>
  <si>
    <t>LW_003</t>
  </si>
  <si>
    <t>لوگو وال ویترین-ارتفاع:3000</t>
  </si>
  <si>
    <t>LW_005</t>
  </si>
  <si>
    <t>LW_006</t>
  </si>
  <si>
    <t>LW_007</t>
  </si>
  <si>
    <t>LW_008</t>
  </si>
  <si>
    <t>LW_009</t>
  </si>
  <si>
    <t>LW_010</t>
  </si>
  <si>
    <t>TS_001</t>
  </si>
  <si>
    <t xml:space="preserve">استند دوتایی1800-ارتفاع:2200 </t>
  </si>
  <si>
    <t xml:space="preserve">استند سه تایی 1800-ارتفاع:2600 </t>
  </si>
  <si>
    <t>TS_003</t>
  </si>
  <si>
    <t xml:space="preserve">استند سه تایی 1800-ارتفاع:3000 </t>
  </si>
  <si>
    <t>TS_004</t>
  </si>
  <si>
    <t xml:space="preserve">استند دو تایی عریض2400-ارتفاع:2200 </t>
  </si>
  <si>
    <t xml:space="preserve">استند سه تایی عریض 2400-ارتفاع:2600 </t>
  </si>
  <si>
    <t>TS_006</t>
  </si>
  <si>
    <t xml:space="preserve">استند سه تایی عریض 2400-ارتفاع:3000 </t>
  </si>
  <si>
    <t>قسمت اداری</t>
  </si>
  <si>
    <t xml:space="preserve">OF-001 </t>
  </si>
  <si>
    <t>اداری کوچک (حداقل طول 100سانت)</t>
  </si>
  <si>
    <t>OF-002</t>
  </si>
  <si>
    <t xml:space="preserve">اداری متوسط </t>
  </si>
  <si>
    <t>OF-003</t>
  </si>
  <si>
    <t>اداری بزرگ (حداکثر طول 250 سانت)</t>
  </si>
  <si>
    <t>Tv Frame</t>
  </si>
  <si>
    <t>TF</t>
  </si>
  <si>
    <t>قرنیز دیواری</t>
  </si>
  <si>
    <t>تعداد اقلام سفارش</t>
  </si>
  <si>
    <t>VP_004</t>
  </si>
  <si>
    <t>صفحه روی باکس یک متری کوتاه</t>
  </si>
  <si>
    <t>صفحه یک و نیم متری کوتاه</t>
  </si>
  <si>
    <t>صفحه روی باکس یک متری بلند</t>
  </si>
  <si>
    <t>صفحه یک و نیم متری بلند</t>
  </si>
  <si>
    <t>تعداد سفارش</t>
  </si>
  <si>
    <t>تعداد قطعات</t>
  </si>
  <si>
    <t>نام قطعات</t>
  </si>
  <si>
    <t>تعداد قطعات ارسالی</t>
  </si>
  <si>
    <t>کابینت کافه عرض 60cm</t>
  </si>
  <si>
    <t>کابینت کافه عرض 50cm</t>
  </si>
  <si>
    <t>کابینت ایستاده ماکروفر</t>
  </si>
  <si>
    <t>کابینت هوایی 1312mm</t>
  </si>
  <si>
    <t>کابینت هوایی 650mm</t>
  </si>
  <si>
    <t>کابینت یخچال</t>
  </si>
  <si>
    <t>کابینت زمینی</t>
  </si>
  <si>
    <t>قطعه رنگی کنار یونیت ماکروفر</t>
  </si>
  <si>
    <t>قطعه رنگی طاق هود و کف گاز</t>
  </si>
  <si>
    <t>قطعه رنگی بدنه پشت هود</t>
  </si>
  <si>
    <t>قطعه رنگی بدنه پشت اجاق</t>
  </si>
  <si>
    <t>وادار وسط ماشین ها</t>
  </si>
  <si>
    <t xml:space="preserve">درب نما </t>
  </si>
  <si>
    <t>بدنه بلند داخل یخچال سمت اجاق</t>
  </si>
  <si>
    <t>Wa-Co</t>
  </si>
  <si>
    <t>بدنه سوبل کافه-75سانتیمتر</t>
  </si>
  <si>
    <t>TR_002</t>
  </si>
  <si>
    <t>بدنه رنگی جزیره آشپزخانه بزرگ-عرض 100Cm</t>
  </si>
  <si>
    <t>بدنه رنگی جزیره آشپزخانه بزرگ-عرض 35Cm</t>
  </si>
  <si>
    <t>کابینت داخل کاور سفید حجم کاری-دو درب</t>
  </si>
  <si>
    <t>قسمت رنگی حجم کاری شده جلوی میز</t>
  </si>
  <si>
    <t>یونیت سه کشو عرض 60cm</t>
  </si>
  <si>
    <t>یونیت سه کشو عرض 42cm</t>
  </si>
  <si>
    <t>شلف حجم کاری 45cm</t>
  </si>
  <si>
    <t>شیشه</t>
  </si>
  <si>
    <t>بدنه دوبل</t>
  </si>
  <si>
    <t>قطعه داخل کاور به عرض 50cm</t>
  </si>
  <si>
    <t>کفی یخچال به طول 119cm</t>
  </si>
  <si>
    <t>بدنه یخچال</t>
  </si>
  <si>
    <t>کفی یخچال به طول 91.6cm</t>
  </si>
  <si>
    <t>کفی یخچال به طول 70.2cm</t>
  </si>
  <si>
    <t>کفی یخچال به طول 86cm</t>
  </si>
  <si>
    <t>ISL_003----(ماشین لباسشویی دوتایی)</t>
  </si>
  <si>
    <t>بدنه پشت</t>
  </si>
  <si>
    <t>بدنه کناره ها</t>
  </si>
  <si>
    <t>ISL_004-----(ماشین لباسشویی و ماشین ظرفشویی)</t>
  </si>
  <si>
    <t>ISL_006----(گاز مبله)</t>
  </si>
  <si>
    <t>ISL_007----(گاز دوتایی )</t>
  </si>
  <si>
    <t>TS_002----(استند سه تایی 1800-ارتفاع:2600 )</t>
  </si>
  <si>
    <t>TS_001----(استند دوتایی1800-ارتفاع:2200 )</t>
  </si>
  <si>
    <t>یونیت یخچال به طول 125.4cm</t>
  </si>
  <si>
    <t>یونیت یخچال به طول 98cm</t>
  </si>
  <si>
    <t>یونیت یخچال به طول 73.4cm</t>
  </si>
  <si>
    <t>یونیت یخچال به طول 92.4cm</t>
  </si>
  <si>
    <t xml:space="preserve"> باکس یک متری (ارتفاع 10سانتیمتر)</t>
  </si>
  <si>
    <t>قطعه نیم و نیم زیر کفی ویترین عرض8.4cm</t>
  </si>
  <si>
    <t>درب راست یونیت یخچال</t>
  </si>
  <si>
    <t>درب چپ یونیت یخچال</t>
  </si>
  <si>
    <t>قطعه داخل کاور به عرض 51cm</t>
  </si>
  <si>
    <t>یراق</t>
  </si>
  <si>
    <t xml:space="preserve"> ماژول گاز روکار (صفحه ای)</t>
  </si>
  <si>
    <t>چوب ترمو اضافه ارتفاع 220Cm</t>
  </si>
  <si>
    <t>قطعه(لقمه) ام دی اف خام برای نصب</t>
  </si>
  <si>
    <t>شلف حجم کاری یو شکل TV -180Cm</t>
  </si>
  <si>
    <t>میز-102Cm</t>
  </si>
  <si>
    <t>میز-152Cm</t>
  </si>
  <si>
    <t>میز ال-128Cm</t>
  </si>
  <si>
    <t>تاپر-230Cm-ارتفاع:40Cm</t>
  </si>
  <si>
    <t>تاپر-230Cm-ارتفاع:20Cm</t>
  </si>
  <si>
    <t>تاپر قسمت استیشن جزیره کوچک -90Cm-ارتفاع:40Cm</t>
  </si>
  <si>
    <t>تاپر قسمت استیشن جزیره بزرگ-140Cm-ارتفاع:40Cm</t>
  </si>
  <si>
    <t>توضیحات</t>
  </si>
  <si>
    <t>کاور سفید حجم کاری-90Cm</t>
  </si>
  <si>
    <t>نام ماژول</t>
  </si>
  <si>
    <t>لوستر جزیره آشپزخانه تیپ 1</t>
  </si>
  <si>
    <t>لوستر جزیره آشپزخانه تیپ 2</t>
  </si>
  <si>
    <t>لوستر کانتر تیپ 2</t>
  </si>
  <si>
    <t>لوستر کانتر تیپ 4</t>
  </si>
  <si>
    <t>TV Room</t>
  </si>
  <si>
    <t>یخچال</t>
  </si>
  <si>
    <t>آیلند(جزیره)</t>
  </si>
  <si>
    <t>SHC</t>
  </si>
  <si>
    <t>صفحه سوبل کافه-2متر- دو سر فارسی</t>
  </si>
  <si>
    <t>صفحه سوبل کافه-1متر- یک سر فارسی</t>
  </si>
  <si>
    <t>صفحه سوبل کافه-1.5متر- یک سر فارسی</t>
  </si>
  <si>
    <t>صفحه سوبل کافه-2متر- یک سر فارسی</t>
  </si>
  <si>
    <t>صفحه سوبل کافه-1.5متر- دو سر فاسی</t>
  </si>
  <si>
    <t>صفحه سوبل کافه-1متر- دو سر فاسی</t>
  </si>
  <si>
    <t>BR_L</t>
  </si>
  <si>
    <t>BR_S</t>
  </si>
  <si>
    <t>ریز کد</t>
  </si>
  <si>
    <t>KK_a1</t>
  </si>
  <si>
    <t>KK_a2</t>
  </si>
  <si>
    <t>KK_a3</t>
  </si>
  <si>
    <t>KK_a4</t>
  </si>
  <si>
    <t>KK_a5</t>
  </si>
  <si>
    <t>KK_a6</t>
  </si>
  <si>
    <t>KK_a7</t>
  </si>
  <si>
    <t>KK_a8</t>
  </si>
  <si>
    <t xml:space="preserve">آشپزخانه </t>
  </si>
  <si>
    <t>KK</t>
  </si>
  <si>
    <t>KB_a1</t>
  </si>
  <si>
    <t>صفحه رنگی جزیره آشپزخانه-طول2.4m</t>
  </si>
  <si>
    <t>صفحه رنگی جزیره آشپزخانه-طول1.8m</t>
  </si>
  <si>
    <t>KB_a2</t>
  </si>
  <si>
    <t>KB</t>
  </si>
  <si>
    <t>جزیره آشپزخانه</t>
  </si>
  <si>
    <t>CT_a1</t>
  </si>
  <si>
    <t>CT_a2</t>
  </si>
  <si>
    <t>CT_a3</t>
  </si>
  <si>
    <t>CT_a4</t>
  </si>
  <si>
    <t>CT_a5</t>
  </si>
  <si>
    <t>CT_a6</t>
  </si>
  <si>
    <t>یونیت دو درب کنار کشو</t>
  </si>
  <si>
    <t>یونیت یک درب کنار کشو</t>
  </si>
  <si>
    <t>CT</t>
  </si>
  <si>
    <t>CO_a1</t>
  </si>
  <si>
    <t>CO</t>
  </si>
  <si>
    <t>SH_003_a1</t>
  </si>
  <si>
    <t>SH_003_a2</t>
  </si>
  <si>
    <t>SH_003_a3</t>
  </si>
  <si>
    <t>SH_003_a4</t>
  </si>
  <si>
    <t>SH_003_a5</t>
  </si>
  <si>
    <t>SH_003_a6</t>
  </si>
  <si>
    <t>SH_003_a7</t>
  </si>
  <si>
    <t>SH_003_a8</t>
  </si>
  <si>
    <t>SH_003_a9</t>
  </si>
  <si>
    <t>SH_003_a14</t>
  </si>
  <si>
    <t>SH_003_a15</t>
  </si>
  <si>
    <t>SH_003_a16</t>
  </si>
  <si>
    <t>SH_003</t>
  </si>
  <si>
    <t>SH_003_a17</t>
  </si>
  <si>
    <t>ام دی اف 3میل سفید</t>
  </si>
  <si>
    <t>ام دی اف 16میل سفید</t>
  </si>
  <si>
    <t>ام دی اف 16میل فرامید</t>
  </si>
  <si>
    <t>ام دی اف 16میل خام</t>
  </si>
  <si>
    <t>پلکسی</t>
  </si>
  <si>
    <t>آهن</t>
  </si>
  <si>
    <t>a</t>
  </si>
  <si>
    <t>b</t>
  </si>
  <si>
    <t>c</t>
  </si>
  <si>
    <t>d</t>
  </si>
  <si>
    <t>e</t>
  </si>
  <si>
    <t>f</t>
  </si>
  <si>
    <t>g</t>
  </si>
  <si>
    <t>نام</t>
  </si>
  <si>
    <t>کد</t>
  </si>
  <si>
    <t>BC_001_a1</t>
  </si>
  <si>
    <t>BR_L_b1</t>
  </si>
  <si>
    <t>BR_L_b2</t>
  </si>
  <si>
    <t>BR_L_b3</t>
  </si>
  <si>
    <t>BR_L_b4</t>
  </si>
  <si>
    <t>BR_S_b1</t>
  </si>
  <si>
    <t>BR_S_b2</t>
  </si>
  <si>
    <t>BR_S_b3</t>
  </si>
  <si>
    <t>SHC_f1</t>
  </si>
  <si>
    <t>SHC_001_b1</t>
  </si>
  <si>
    <t>KK_b1</t>
  </si>
  <si>
    <t>KK_b2</t>
  </si>
  <si>
    <t>KK_b3</t>
  </si>
  <si>
    <t>KK_b4</t>
  </si>
  <si>
    <t>KK_b5</t>
  </si>
  <si>
    <t>KK_b6</t>
  </si>
  <si>
    <t>KK_b7</t>
  </si>
  <si>
    <t>KK_b8</t>
  </si>
  <si>
    <t>KK_b9</t>
  </si>
  <si>
    <t>KK_b10</t>
  </si>
  <si>
    <t>KK_b11</t>
  </si>
  <si>
    <t>KK_b12</t>
  </si>
  <si>
    <t>KK_b13</t>
  </si>
  <si>
    <t>KB_b1</t>
  </si>
  <si>
    <t>KB_b2</t>
  </si>
  <si>
    <t>KB_b3</t>
  </si>
  <si>
    <t>KB_b4</t>
  </si>
  <si>
    <t>KL_001_a1</t>
  </si>
  <si>
    <t>KL_002_a1</t>
  </si>
  <si>
    <t>SHC_002_b1</t>
  </si>
  <si>
    <t>SHC_003_b1</t>
  </si>
  <si>
    <t>BC_002_a1</t>
  </si>
  <si>
    <t>CO_b1</t>
  </si>
  <si>
    <t>SH_003_f1</t>
  </si>
  <si>
    <t>SH_003_f2</t>
  </si>
  <si>
    <t>SH_003_f3</t>
  </si>
  <si>
    <t>SH_003_g1</t>
  </si>
  <si>
    <t>قطعه ام دی اف سفید برای نصب- طول 2m- عرض 7cm</t>
  </si>
  <si>
    <t>قطعه ام دی اف سفید برای نصب- طول 2.4mعرض 7cm</t>
  </si>
  <si>
    <t>قطعه ام دی اف سفید برای نصب- طول 2m- عرض 10cm</t>
  </si>
  <si>
    <t>قطعه ام دی اف سفید برای نصب- طول 2.4mعرض 10cm</t>
  </si>
  <si>
    <t>بدنه cnc ویترین-ارتفاع 212cm</t>
  </si>
  <si>
    <t>بدنه cnc ویترین-ارتفاع 260cm</t>
  </si>
  <si>
    <t>چسب دو طرفه</t>
  </si>
  <si>
    <t>h</t>
  </si>
  <si>
    <t>SH_003_h1</t>
  </si>
  <si>
    <t>شلف شیشه ای</t>
  </si>
  <si>
    <t>TR_002_d1</t>
  </si>
  <si>
    <t>TR_002_b1</t>
  </si>
  <si>
    <t>TR_002_b2</t>
  </si>
  <si>
    <t>صفحه دوبل چهار طرف نوار32</t>
  </si>
  <si>
    <t>بدنه کناره ها دو طول  دوبل و نوار 32</t>
  </si>
  <si>
    <t>وادار وسط دوبل یک طول نوار 32</t>
  </si>
  <si>
    <t>کفی سوبل دو طول و یک عرض نوار48</t>
  </si>
  <si>
    <t>FS_001_a1</t>
  </si>
  <si>
    <t>FS_001_a2</t>
  </si>
  <si>
    <t>FS_001_a3</t>
  </si>
  <si>
    <t>FS_001_a4</t>
  </si>
  <si>
    <t>FS_001_a5</t>
  </si>
  <si>
    <t>FS_001_a6</t>
  </si>
  <si>
    <t>FS_001_a7</t>
  </si>
  <si>
    <t>FS_002_a1</t>
  </si>
  <si>
    <t>FS_002_a2</t>
  </si>
  <si>
    <t>FS_002_a3</t>
  </si>
  <si>
    <t>FS_002_a4</t>
  </si>
  <si>
    <t>FS_002_a5</t>
  </si>
  <si>
    <t>FS_002_a6</t>
  </si>
  <si>
    <t>FS_004_a1</t>
  </si>
  <si>
    <t>FS_004_a2</t>
  </si>
  <si>
    <t>FS_004_a5</t>
  </si>
  <si>
    <t>FS_004_a6</t>
  </si>
  <si>
    <t>FS_005_a1</t>
  </si>
  <si>
    <t>FS_005_a2</t>
  </si>
  <si>
    <t>FS_005_a3</t>
  </si>
  <si>
    <t>FS_005_a4</t>
  </si>
  <si>
    <t>FS_005_a5</t>
  </si>
  <si>
    <t>FS_005_a6</t>
  </si>
  <si>
    <t>قطعه ال زیر یونیت به طول 98cm</t>
  </si>
  <si>
    <t>قطعه ال زیر یونیت به طول 92.4cm</t>
  </si>
  <si>
    <t>قطعه ال زیر یونیت به طول 125.4cm</t>
  </si>
  <si>
    <t>ISL_001_a1</t>
  </si>
  <si>
    <t>ISL_002_a1</t>
  </si>
  <si>
    <t>ISL_003_a1</t>
  </si>
  <si>
    <t>ISL_003_a2</t>
  </si>
  <si>
    <t>ISL_003_a3</t>
  </si>
  <si>
    <t>ISL_003_a4</t>
  </si>
  <si>
    <t>ISL_003_a5</t>
  </si>
  <si>
    <t>ISL_004_a1</t>
  </si>
  <si>
    <t>ISL_004_a2</t>
  </si>
  <si>
    <t>ISL_004_a3</t>
  </si>
  <si>
    <t>ISL_004_a4</t>
  </si>
  <si>
    <t>ISL_004_a5</t>
  </si>
  <si>
    <t>ISL_005_a1</t>
  </si>
  <si>
    <t>ISL_006_a1</t>
  </si>
  <si>
    <t>ISL_006_a2</t>
  </si>
  <si>
    <t>ISL_006_a3</t>
  </si>
  <si>
    <t>ISL_007_a1</t>
  </si>
  <si>
    <t>ISL_007_a2</t>
  </si>
  <si>
    <t>ISL_007_a3</t>
  </si>
  <si>
    <t>ISL_007_a4</t>
  </si>
  <si>
    <t>ISL_008_a1</t>
  </si>
  <si>
    <t>ISL_009_a1</t>
  </si>
  <si>
    <t>ISL_010_a1</t>
  </si>
  <si>
    <t>ISL_011_a1</t>
  </si>
  <si>
    <t>LW_001_a1</t>
  </si>
  <si>
    <t>LW_002_a1</t>
  </si>
  <si>
    <t>LW_002_f1</t>
  </si>
  <si>
    <t>TS_001_a1</t>
  </si>
  <si>
    <t>TS_001_a2</t>
  </si>
  <si>
    <t>TS_002_a1</t>
  </si>
  <si>
    <t>TS_002_a2</t>
  </si>
  <si>
    <t>VS_002_a1</t>
  </si>
  <si>
    <t>VP_001_a1</t>
  </si>
  <si>
    <t>Wa-Co_a1</t>
  </si>
  <si>
    <t>پایه فلزی 260cm</t>
  </si>
  <si>
    <t>پایه فلزی 212cm</t>
  </si>
  <si>
    <t>ویترین</t>
  </si>
  <si>
    <t>KK_b14</t>
  </si>
  <si>
    <t>قطعه رنگی بین کابینتی 65Cm- بلند164.4cm</t>
  </si>
  <si>
    <t>قطعه رنگی بین کابینتی 65Cm- بلند278cm</t>
  </si>
  <si>
    <t>قطعه رنگی بین کابینتی 65Cm- کوتاه19cm</t>
  </si>
  <si>
    <t>قطعه رنگی زیر یونیت هوایی-بلند199.4cm</t>
  </si>
  <si>
    <t>قطعه رنگی روی ماشین ها- بلند199.4cm</t>
  </si>
  <si>
    <t>قطعه رنگی زیر یونیت هوایی-کوتاه68.2cm</t>
  </si>
  <si>
    <t>قطعه رنگی روی ماشین ها- کوتاه68.2cm</t>
  </si>
  <si>
    <t>قطعه رنگی کنار یونیت یخچال-بلند260cm</t>
  </si>
  <si>
    <t>قطعه رنگی بدنه یونیت هوایی-راست108.2cm</t>
  </si>
  <si>
    <t>قطعه رنگی بدنه یونیت زمینی-راست93.2cm</t>
  </si>
  <si>
    <t>KB_b5</t>
  </si>
  <si>
    <t>لقمه رنگی به عرض 3cm و طول 85cm</t>
  </si>
  <si>
    <t>باکس حجم رنگی ارتفاع 46.8cm</t>
  </si>
  <si>
    <t>باکس حجم رنگی ارتفاع 50cm</t>
  </si>
  <si>
    <t>باکس حجم رنگی ارتفاع 60cm</t>
  </si>
  <si>
    <t>باکس حجم رنگی ارتفاع 86.2cm</t>
  </si>
  <si>
    <t>SH_003_b2</t>
  </si>
  <si>
    <t>SH_003_b3</t>
  </si>
  <si>
    <t>SH_003_b4</t>
  </si>
  <si>
    <t>SH_003_b5</t>
  </si>
  <si>
    <t>پلکسی ارتفاع 43.5cm</t>
  </si>
  <si>
    <t>پلکسی ارتفاع 46.7cm</t>
  </si>
  <si>
    <t>پلکسی ارتفاع 56.7cm</t>
  </si>
  <si>
    <t>پلکسی ارتفاع 82.9cm</t>
  </si>
  <si>
    <t>کفی سفید حجم کاری شده به طول 183.2cm</t>
  </si>
  <si>
    <t>درب یونیت یخچال</t>
  </si>
  <si>
    <t xml:space="preserve">بدنه پشت </t>
  </si>
  <si>
    <t>کفی گاز</t>
  </si>
  <si>
    <t>وادار وسط گاز</t>
  </si>
  <si>
    <t>بدنه اصلی عرض 181Cm-ارتفاع220cm</t>
  </si>
  <si>
    <t>نمای بقل-ام دی اف سفید- عرض 13.6cm-ارتفاع220cm</t>
  </si>
  <si>
    <t>بدنه اصلی عرض 181Cm-ارتفاع 260cm</t>
  </si>
  <si>
    <t>نمای بقل-ام دی اف سفید- عرض 13.6cm-ارتفاع260cm</t>
  </si>
  <si>
    <t>طبقات رنگی متوسط دوبل 115cm</t>
  </si>
  <si>
    <t>طبقات رنگی کوچک دوبل 65cm</t>
  </si>
  <si>
    <t>طبقات رنگی بزرگ دوبل 165cm</t>
  </si>
  <si>
    <t>دسته فلزی شیار دار</t>
  </si>
  <si>
    <t>نمای بقل-ام دی اف سفید- طول 212cm- عرض 11.6cm</t>
  </si>
  <si>
    <t>نمای بقل-ام دی اف سفید- طول 260cm- عرض 11.6cm</t>
  </si>
  <si>
    <t>پایه فلزی ال شکل</t>
  </si>
  <si>
    <t>برای Lw-001(یک عدد) و Lw-002(دوعدد)</t>
  </si>
  <si>
    <t>لولای درب یخچال(برای هر لنگه دو عدد)-</t>
  </si>
  <si>
    <t>قرنیز عرض 9Cm طول 360cm</t>
  </si>
  <si>
    <t>کلاف فلزی نرده بانی شکل</t>
  </si>
  <si>
    <t>قیمت واحد-ريال</t>
  </si>
  <si>
    <t>قیمت کل-ريال</t>
  </si>
  <si>
    <t>جمع کل</t>
  </si>
  <si>
    <t>اقلام سفارشی</t>
  </si>
  <si>
    <t xml:space="preserve"> باکس1متر در 1متر  ارتفاع 10سانتیمتر</t>
  </si>
  <si>
    <t>Wall cornic</t>
  </si>
  <si>
    <t>قرنیز دیواری360 سانتیمتر در 9 سانتیمتر</t>
  </si>
  <si>
    <t>حذف شد</t>
  </si>
  <si>
    <t>اسکان</t>
  </si>
  <si>
    <t>ناهار</t>
  </si>
  <si>
    <t>ایاب و ذهاب</t>
  </si>
  <si>
    <t>برای یک شهرستان</t>
  </si>
  <si>
    <t>یک شب برای یک تیم نصاب</t>
  </si>
  <si>
    <t xml:space="preserve">فاکتور </t>
  </si>
  <si>
    <t>خرید یراق کسری فروشگاه</t>
  </si>
  <si>
    <t>متفرقه</t>
  </si>
  <si>
    <t>انجام کارهای متفرقه</t>
  </si>
  <si>
    <t>یک کامیون</t>
  </si>
  <si>
    <t>نظارت و تخلیه بار</t>
  </si>
  <si>
    <t>بتونه کاری و تمیزکاری و نظافت فروشگاه</t>
  </si>
  <si>
    <t>یک فروشگاه</t>
  </si>
  <si>
    <t>هزینه روزانه غذا یک تیم سه نفره بومی</t>
  </si>
  <si>
    <t>هزینه روزانه غذا یک تیم سه نفره غیر بومی</t>
  </si>
  <si>
    <t>برای یک تیم نصب-بومی</t>
  </si>
  <si>
    <t>برای یک تیم نصب-غیر بومی</t>
  </si>
  <si>
    <t>انتخاب سفارش :</t>
  </si>
  <si>
    <t xml:space="preserve">فروشگاه : </t>
  </si>
  <si>
    <t>بدنه یخچال اضافه</t>
  </si>
  <si>
    <t>گیلان- لنگرود</t>
  </si>
  <si>
    <t>17شهریور-رشت</t>
  </si>
  <si>
    <t>رشت- امام</t>
  </si>
  <si>
    <t>رشت- گلسر</t>
  </si>
  <si>
    <t>رشت مطهری</t>
  </si>
  <si>
    <t>رشت- رودسر</t>
  </si>
  <si>
    <t>رشت- شریعتی</t>
  </si>
  <si>
    <t>گیلان-رشت - رجایی</t>
  </si>
  <si>
    <t>باکس-44.8cm</t>
  </si>
  <si>
    <t>باکس-14cm</t>
  </si>
  <si>
    <t>باکس-36.4cm</t>
  </si>
  <si>
    <t>باکس-66cm</t>
  </si>
  <si>
    <t>تهران- قلهک</t>
  </si>
  <si>
    <t>اصفهان - سه راه درچه</t>
  </si>
  <si>
    <t>اصفهان - عسگریه</t>
  </si>
  <si>
    <t>اصفهان - فولاد شهر</t>
  </si>
  <si>
    <t>اصفهان - گلدشت</t>
  </si>
  <si>
    <t>اصفهان - نجف آباد - شهدا</t>
  </si>
  <si>
    <t>اصفهان- پیر بکران</t>
  </si>
  <si>
    <t>اصفهان- فلاورجان</t>
  </si>
  <si>
    <t>اصفهان-ورنامخواست</t>
  </si>
  <si>
    <t>خمینی شهر- طالقانی</t>
  </si>
  <si>
    <t>درچه - خط گاز</t>
  </si>
  <si>
    <t>فلاورجان - باغ ابریشم</t>
  </si>
  <si>
    <t>نجف آباد - شریعتی</t>
  </si>
  <si>
    <t>امین حضور</t>
  </si>
  <si>
    <t>گرگان- امام رضا</t>
  </si>
  <si>
    <t>گلستان- آق قلا</t>
  </si>
  <si>
    <t>گلستان-کلاله- آزادی</t>
  </si>
  <si>
    <t>گلستان- بندر ترکمن</t>
  </si>
  <si>
    <t>گلستان- کلاله- میدان احمدی</t>
  </si>
  <si>
    <t>گرگان سر خواجه</t>
  </si>
  <si>
    <t>گرگان- شهدا</t>
  </si>
  <si>
    <t>شیراز- ستاد</t>
  </si>
  <si>
    <t>شیراز-باغ صفا</t>
  </si>
  <si>
    <t>شیراز- مدرس</t>
  </si>
  <si>
    <t>شیراز- گلشن</t>
  </si>
  <si>
    <t>شیراز- دیناکان</t>
  </si>
  <si>
    <t>BR_L_001</t>
  </si>
  <si>
    <t>BR_L_002</t>
  </si>
  <si>
    <t>BR_L_003</t>
  </si>
  <si>
    <t>BR_L_004</t>
  </si>
  <si>
    <t>BR_L_005</t>
  </si>
  <si>
    <t>BR_L_006</t>
  </si>
  <si>
    <t>BR_L_007</t>
  </si>
  <si>
    <t>BR_L_008</t>
  </si>
  <si>
    <t>BR_L_009</t>
  </si>
  <si>
    <t>BR_S_001</t>
  </si>
  <si>
    <t>BR_S_002</t>
  </si>
  <si>
    <t>BR_S_003</t>
  </si>
  <si>
    <t>KK_001</t>
  </si>
  <si>
    <t>KB_001</t>
  </si>
  <si>
    <t>KB_002</t>
  </si>
  <si>
    <t>KB_003</t>
  </si>
  <si>
    <t>CO_001</t>
  </si>
  <si>
    <t>CT_001</t>
  </si>
  <si>
    <t>CT_002</t>
  </si>
  <si>
    <t>TR_001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</si>
</sst>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ريال&quot;#,##0_-"/>
  </numFmts>
  <fonts count="12">
    <font>
      <sz val="11"/>
      <color theme="1"/>
      <name val="Calibri"/>
      <family val="2"/>
      <charset val="178"/>
      <scheme val="minor"/>
    </font>
    <font>
      <sz val="11"/>
      <color theme="1"/>
      <name val="B Nazanin"/>
      <charset val="178"/>
    </font>
    <font>
      <b/>
      <sz val="12"/>
      <name val="Calibri"/>
      <family val="2"/>
      <charset val="178"/>
      <scheme val="minor"/>
    </font>
    <font>
      <b/>
      <sz val="12"/>
      <color theme="1"/>
      <name val="B Nazanin"/>
      <charset val="178"/>
    </font>
    <font>
      <b/>
      <sz val="12"/>
      <name val="Calibri Light"/>
      <family val="1"/>
      <scheme val="major"/>
    </font>
    <font>
      <sz val="11"/>
      <color theme="1"/>
      <name val="Calibri Light"/>
      <family val="1"/>
      <scheme val="major"/>
    </font>
    <font>
      <b/>
      <sz val="14"/>
      <color theme="1"/>
      <name val="B Nazanin"/>
      <charset val="178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charset val="178"/>
      <scheme val="minor"/>
    </font>
    <font>
      <b/>
      <sz val="16"/>
      <name val="Calibri"/>
      <family val="2"/>
      <charset val="17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theme="4"/>
      </patternFill>
    </fill>
    <fill>
      <patternFill patternType="solid">
        <fgColor theme="0" tint="-4.9989318521683403E-2"/>
        <bgColor theme="4"/>
      </patternFill>
    </fill>
    <fill>
      <patternFill patternType="solid">
        <fgColor rgb="FFFFC000"/>
        <bgColor theme="4"/>
      </patternFill>
    </fill>
  </fills>
  <borders count="4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1">
    <xf numFmtId="0" fontId="0" fillId="0" borderId="0"/>
  </cellStyleXfs>
  <cellXfs count="150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readingOrder="2"/>
    </xf>
    <xf numFmtId="0" fontId="1" fillId="4" borderId="1" xfId="0" applyFont="1" applyFill="1" applyBorder="1" applyAlignment="1">
      <alignment horizontal="center" vertical="center" readingOrder="2"/>
    </xf>
    <xf numFmtId="0" fontId="1" fillId="4" borderId="1" xfId="0" applyFont="1" applyFill="1" applyBorder="1" applyAlignment="1">
      <alignment horizontal="center" vertical="center" readingOrder="2"/>
    </xf>
    <xf numFmtId="0" fontId="1" fillId="4" borderId="1" xfId="0" applyFont="1" applyFill="1" applyBorder="1" applyAlignment="1">
      <alignment horizontal="center" vertical="center" readingOrder="2"/>
    </xf>
    <xf numFmtId="0" fontId="1" fillId="3" borderId="1" xfId="0" applyFont="1" applyFill="1" applyBorder="1" applyAlignment="1">
      <alignment horizontal="center" vertical="center" readingOrder="2"/>
    </xf>
    <xf numFmtId="0" fontId="1" fillId="4" borderId="1" xfId="0" applyFont="1" applyFill="1" applyBorder="1" applyAlignment="1">
      <alignment horizontal="center" vertical="center" readingOrder="2"/>
    </xf>
    <xf numFmtId="0" fontId="1" fillId="4" borderId="4" xfId="0" applyFont="1" applyFill="1" applyBorder="1" applyAlignment="1">
      <alignment horizontal="center" vertical="center" readingOrder="2"/>
    </xf>
    <xf numFmtId="0" fontId="1" fillId="0" borderId="9" xfId="0" applyFont="1" applyFill="1" applyBorder="1" applyAlignment="1">
      <alignment horizontal="center" vertical="center" readingOrder="2"/>
    </xf>
    <xf numFmtId="0" fontId="1" fillId="0" borderId="12" xfId="0" applyFont="1" applyFill="1" applyBorder="1" applyAlignment="1">
      <alignment horizontal="center" vertical="center" readingOrder="2"/>
    </xf>
    <xf numFmtId="0" fontId="1" fillId="0" borderId="4" xfId="0" applyFont="1" applyFill="1" applyBorder="1" applyAlignment="1">
      <alignment horizontal="center" vertical="center" readingOrder="2"/>
    </xf>
    <xf numFmtId="0" fontId="1" fillId="0" borderId="1" xfId="0" applyFont="1" applyFill="1" applyBorder="1" applyAlignment="1">
      <alignment horizontal="center" vertical="center" readingOrder="2"/>
    </xf>
    <xf numFmtId="0" fontId="1" fillId="0" borderId="8" xfId="0" applyFont="1" applyFill="1" applyBorder="1" applyAlignment="1">
      <alignment horizontal="center" vertical="center" readingOrder="2"/>
    </xf>
    <xf numFmtId="0" fontId="1" fillId="0" borderId="11" xfId="0" applyFont="1" applyFill="1" applyBorder="1" applyAlignment="1">
      <alignment horizontal="center" vertical="center" readingOrder="2"/>
    </xf>
    <xf numFmtId="0" fontId="1" fillId="0" borderId="6" xfId="0" applyFont="1" applyFill="1" applyBorder="1" applyAlignment="1">
      <alignment horizontal="center" vertical="center" readingOrder="2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1" fillId="0" borderId="8" xfId="0" applyFont="1" applyFill="1" applyBorder="1" applyAlignment="1">
      <alignment horizontal="center" vertical="center" wrapText="1" readingOrder="2"/>
    </xf>
    <xf numFmtId="0" fontId="1" fillId="0" borderId="9" xfId="0" applyFont="1" applyFill="1" applyBorder="1" applyAlignment="1">
      <alignment horizontal="center" vertical="center" wrapText="1" readingOrder="2"/>
    </xf>
    <xf numFmtId="0" fontId="1" fillId="0" borderId="11" xfId="0" applyFont="1" applyFill="1" applyBorder="1" applyAlignment="1">
      <alignment horizontal="center" vertical="center" wrapText="1" readingOrder="2"/>
    </xf>
    <xf numFmtId="0" fontId="1" fillId="0" borderId="13" xfId="0" applyFont="1" applyFill="1" applyBorder="1" applyAlignment="1">
      <alignment horizontal="center" vertical="center" wrapText="1" readingOrder="2"/>
    </xf>
    <xf numFmtId="0" fontId="0" fillId="0" borderId="0" xfId="0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 readingOrder="2"/>
    </xf>
    <xf numFmtId="0" fontId="1" fillId="0" borderId="3" xfId="0" applyFont="1" applyFill="1" applyBorder="1" applyAlignment="1">
      <alignment horizontal="center" vertical="center" readingOrder="2"/>
    </xf>
    <xf numFmtId="0" fontId="1" fillId="0" borderId="13" xfId="0" applyFont="1" applyFill="1" applyBorder="1" applyAlignment="1">
      <alignment horizontal="center" vertical="center" readingOrder="2"/>
    </xf>
    <xf numFmtId="0" fontId="1" fillId="0" borderId="7" xfId="0" applyFont="1" applyFill="1" applyBorder="1" applyAlignment="1">
      <alignment horizontal="center" vertical="center" readingOrder="2"/>
    </xf>
    <xf numFmtId="0" fontId="1" fillId="0" borderId="6" xfId="0" applyFont="1" applyFill="1" applyBorder="1" applyAlignment="1">
      <alignment horizontal="center" vertical="center" wrapText="1" readingOrder="2"/>
    </xf>
    <xf numFmtId="0" fontId="1" fillId="0" borderId="7" xfId="0" applyFont="1" applyFill="1" applyBorder="1" applyAlignment="1">
      <alignment horizontal="center" vertical="center" wrapText="1" readingOrder="2"/>
    </xf>
    <xf numFmtId="0" fontId="5" fillId="0" borderId="8" xfId="0" applyFont="1" applyFill="1" applyBorder="1" applyAlignment="1">
      <alignment horizontal="center" vertical="center" wrapText="1" readingOrder="2"/>
    </xf>
    <xf numFmtId="0" fontId="5" fillId="0" borderId="1" xfId="0" applyFont="1" applyFill="1" applyBorder="1" applyAlignment="1">
      <alignment horizontal="center" vertical="center" wrapText="1" readingOrder="2"/>
    </xf>
    <xf numFmtId="0" fontId="5" fillId="0" borderId="6" xfId="0" applyFont="1" applyFill="1" applyBorder="1" applyAlignment="1">
      <alignment horizontal="center" vertical="center" wrapText="1" readingOrder="2"/>
    </xf>
    <xf numFmtId="0" fontId="5" fillId="0" borderId="15" xfId="0" applyFont="1" applyFill="1" applyBorder="1" applyAlignment="1">
      <alignment horizontal="center" vertical="center" wrapText="1" readingOrder="2"/>
    </xf>
    <xf numFmtId="0" fontId="5" fillId="0" borderId="16" xfId="0" applyFont="1" applyFill="1" applyBorder="1" applyAlignment="1">
      <alignment horizontal="center" vertical="center" wrapText="1" readingOrder="2"/>
    </xf>
    <xf numFmtId="0" fontId="5" fillId="0" borderId="17" xfId="0" applyFont="1" applyFill="1" applyBorder="1" applyAlignment="1">
      <alignment horizontal="center" vertical="center" wrapText="1" readingOrder="2"/>
    </xf>
    <xf numFmtId="0" fontId="5" fillId="0" borderId="9" xfId="0" applyFont="1" applyFill="1" applyBorder="1" applyAlignment="1">
      <alignment horizontal="center" vertical="center" wrapText="1" readingOrder="2"/>
    </xf>
    <xf numFmtId="0" fontId="5" fillId="0" borderId="11" xfId="0" applyFont="1" applyFill="1" applyBorder="1" applyAlignment="1">
      <alignment horizontal="center" vertical="center" wrapText="1" readingOrder="2"/>
    </xf>
    <xf numFmtId="0" fontId="5" fillId="0" borderId="13" xfId="0" applyFont="1" applyFill="1" applyBorder="1" applyAlignment="1">
      <alignment horizontal="center" vertical="center" wrapText="1" readingOrder="2"/>
    </xf>
    <xf numFmtId="0" fontId="5" fillId="0" borderId="0" xfId="0" applyFont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 wrapText="1" readingOrder="2"/>
    </xf>
    <xf numFmtId="0" fontId="5" fillId="0" borderId="6" xfId="0" applyFont="1" applyFill="1" applyBorder="1" applyAlignment="1">
      <alignment horizontal="center" vertical="center" wrapText="1" readingOrder="2"/>
    </xf>
    <xf numFmtId="0" fontId="1" fillId="0" borderId="7" xfId="0" applyFont="1" applyFill="1" applyBorder="1" applyAlignment="1">
      <alignment horizontal="center" vertical="center" readingOrder="2"/>
    </xf>
    <xf numFmtId="0" fontId="1" fillId="0" borderId="18" xfId="0" applyFont="1" applyFill="1" applyBorder="1" applyAlignment="1">
      <alignment horizontal="center" vertical="center" readingOrder="2"/>
    </xf>
    <xf numFmtId="0" fontId="7" fillId="0" borderId="21" xfId="0" applyFont="1" applyBorder="1" applyAlignment="1">
      <alignment horizontal="left" vertical="center"/>
    </xf>
    <xf numFmtId="0" fontId="7" fillId="0" borderId="22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1" fillId="0" borderId="23" xfId="0" applyFont="1" applyFill="1" applyBorder="1" applyAlignment="1">
      <alignment horizontal="center" vertical="center" readingOrder="2"/>
    </xf>
    <xf numFmtId="0" fontId="1" fillId="0" borderId="24" xfId="0" applyFont="1" applyFill="1" applyBorder="1" applyAlignment="1">
      <alignment horizontal="center" vertical="center" readingOrder="2"/>
    </xf>
    <xf numFmtId="0" fontId="1" fillId="0" borderId="25" xfId="0" applyFont="1" applyFill="1" applyBorder="1" applyAlignment="1">
      <alignment horizontal="center" vertical="center" readingOrder="2"/>
    </xf>
    <xf numFmtId="0" fontId="1" fillId="0" borderId="22" xfId="0" applyFont="1" applyFill="1" applyBorder="1" applyAlignment="1">
      <alignment horizontal="center" vertical="center" readingOrder="2"/>
    </xf>
    <xf numFmtId="0" fontId="1" fillId="0" borderId="26" xfId="0" applyFont="1" applyFill="1" applyBorder="1" applyAlignment="1">
      <alignment horizontal="center" vertical="center" readingOrder="2"/>
    </xf>
    <xf numFmtId="0" fontId="1" fillId="0" borderId="27" xfId="0" applyFont="1" applyFill="1" applyBorder="1" applyAlignment="1">
      <alignment horizontal="center" vertical="center" readingOrder="2"/>
    </xf>
    <xf numFmtId="0" fontId="1" fillId="0" borderId="28" xfId="0" applyFont="1" applyFill="1" applyBorder="1" applyAlignment="1">
      <alignment horizontal="center" vertical="center" readingOrder="2"/>
    </xf>
    <xf numFmtId="0" fontId="1" fillId="0" borderId="29" xfId="0" applyFont="1" applyFill="1" applyBorder="1" applyAlignment="1">
      <alignment horizontal="center" vertical="center" readingOrder="2"/>
    </xf>
    <xf numFmtId="0" fontId="1" fillId="0" borderId="30" xfId="0" applyFont="1" applyFill="1" applyBorder="1" applyAlignment="1">
      <alignment horizontal="center" vertical="center" readingOrder="2"/>
    </xf>
    <xf numFmtId="0" fontId="1" fillId="0" borderId="31" xfId="0" applyFont="1" applyFill="1" applyBorder="1" applyAlignment="1">
      <alignment horizontal="center" vertical="center" readingOrder="2"/>
    </xf>
    <xf numFmtId="0" fontId="1" fillId="0" borderId="32" xfId="0" applyFont="1" applyFill="1" applyBorder="1" applyAlignment="1">
      <alignment horizontal="center" vertical="center" readingOrder="2"/>
    </xf>
    <xf numFmtId="0" fontId="3" fillId="0" borderId="36" xfId="0" applyFont="1" applyFill="1" applyBorder="1" applyAlignment="1">
      <alignment horizontal="center" vertical="center" readingOrder="2"/>
    </xf>
    <xf numFmtId="0" fontId="3" fillId="0" borderId="37" xfId="0" applyFont="1" applyFill="1" applyBorder="1" applyAlignment="1">
      <alignment horizontal="center" vertical="center" readingOrder="2"/>
    </xf>
    <xf numFmtId="0" fontId="5" fillId="0" borderId="38" xfId="0" applyFont="1" applyFill="1" applyBorder="1" applyAlignment="1">
      <alignment horizontal="center" vertical="center" wrapText="1" readingOrder="2"/>
    </xf>
    <xf numFmtId="0" fontId="2" fillId="6" borderId="39" xfId="0" applyFont="1" applyFill="1" applyBorder="1" applyAlignment="1">
      <alignment horizontal="center" vertical="center" wrapText="1"/>
    </xf>
    <xf numFmtId="0" fontId="2" fillId="6" borderId="40" xfId="0" applyFont="1" applyFill="1" applyBorder="1" applyAlignment="1">
      <alignment horizontal="center" vertical="center" wrapText="1"/>
    </xf>
    <xf numFmtId="0" fontId="4" fillId="6" borderId="40" xfId="0" applyFont="1" applyFill="1" applyBorder="1" applyAlignment="1">
      <alignment horizontal="center" vertical="center" wrapText="1"/>
    </xf>
    <xf numFmtId="0" fontId="2" fillId="6" borderId="4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shrinkToFit="1"/>
    </xf>
    <xf numFmtId="0" fontId="1" fillId="0" borderId="1" xfId="0" applyFont="1" applyFill="1" applyBorder="1" applyAlignment="1">
      <alignment horizontal="center" vertical="center" shrinkToFit="1" readingOrder="2"/>
    </xf>
    <xf numFmtId="3" fontId="1" fillId="0" borderId="1" xfId="0" applyNumberFormat="1" applyFont="1" applyFill="1" applyBorder="1" applyAlignment="1">
      <alignment horizontal="center" vertical="center" shrinkToFit="1" readingOrder="2"/>
    </xf>
    <xf numFmtId="3" fontId="1" fillId="0" borderId="4" xfId="0" applyNumberFormat="1" applyFont="1" applyFill="1" applyBorder="1" applyAlignment="1">
      <alignment horizontal="center" vertical="center" shrinkToFit="1" readingOrder="2"/>
    </xf>
    <xf numFmtId="3" fontId="1" fillId="5" borderId="1" xfId="0" applyNumberFormat="1" applyFont="1" applyFill="1" applyBorder="1" applyAlignment="1">
      <alignment horizontal="center" vertical="center" shrinkToFit="1" readingOrder="2"/>
    </xf>
    <xf numFmtId="0" fontId="1" fillId="0" borderId="2" xfId="0" applyFont="1" applyFill="1" applyBorder="1" applyAlignment="1">
      <alignment horizontal="center" vertical="center" shrinkToFit="1" readingOrder="2"/>
    </xf>
    <xf numFmtId="0" fontId="1" fillId="0" borderId="3" xfId="0" applyFont="1" applyFill="1" applyBorder="1" applyAlignment="1">
      <alignment horizontal="center" vertical="center" shrinkToFit="1" readingOrder="2"/>
    </xf>
    <xf numFmtId="0" fontId="0" fillId="0" borderId="0" xfId="0" applyFill="1" applyAlignment="1">
      <alignment shrinkToFit="1"/>
    </xf>
    <xf numFmtId="3" fontId="0" fillId="0" borderId="0" xfId="0" applyNumberFormat="1" applyFill="1" applyAlignment="1">
      <alignment shrinkToFit="1"/>
    </xf>
    <xf numFmtId="0" fontId="2" fillId="0" borderId="1" xfId="0" applyFont="1" applyFill="1" applyBorder="1" applyAlignment="1">
      <alignment horizontal="center" vertical="center" wrapText="1" shrinkToFit="1"/>
    </xf>
    <xf numFmtId="3" fontId="2" fillId="0" borderId="1" xfId="0" applyNumberFormat="1" applyFont="1" applyFill="1" applyBorder="1" applyAlignment="1">
      <alignment horizontal="center" vertical="center" wrapText="1" shrinkToFit="1"/>
    </xf>
    <xf numFmtId="0" fontId="0" fillId="0" borderId="0" xfId="0" applyAlignment="1">
      <alignment wrapText="1" shrinkToFit="1"/>
    </xf>
    <xf numFmtId="0" fontId="4" fillId="6" borderId="40" xfId="0" applyFont="1" applyFill="1" applyBorder="1" applyAlignment="1">
      <alignment horizontal="center" vertical="center" shrinkToFit="1"/>
    </xf>
    <xf numFmtId="0" fontId="5" fillId="0" borderId="7" xfId="0" applyFont="1" applyFill="1" applyBorder="1" applyAlignment="1">
      <alignment horizontal="right" vertical="center" shrinkToFit="1" readingOrder="2"/>
    </xf>
    <xf numFmtId="0" fontId="5" fillId="0" borderId="9" xfId="0" applyFont="1" applyFill="1" applyBorder="1" applyAlignment="1">
      <alignment horizontal="right" vertical="center" shrinkToFit="1" readingOrder="2"/>
    </xf>
    <xf numFmtId="0" fontId="5" fillId="0" borderId="6" xfId="0" applyFont="1" applyFill="1" applyBorder="1" applyAlignment="1">
      <alignment horizontal="right" vertical="center" shrinkToFit="1" readingOrder="2"/>
    </xf>
    <xf numFmtId="0" fontId="5" fillId="0" borderId="1" xfId="0" applyFont="1" applyFill="1" applyBorder="1" applyAlignment="1">
      <alignment horizontal="right" vertical="center" shrinkToFit="1" readingOrder="2"/>
    </xf>
    <xf numFmtId="0" fontId="5" fillId="0" borderId="8" xfId="0" applyFont="1" applyFill="1" applyBorder="1" applyAlignment="1">
      <alignment horizontal="right" vertical="center" shrinkToFit="1" readingOrder="2"/>
    </xf>
    <xf numFmtId="0" fontId="5" fillId="0" borderId="11" xfId="0" applyFont="1" applyFill="1" applyBorder="1" applyAlignment="1">
      <alignment horizontal="right" vertical="center" shrinkToFit="1" readingOrder="2"/>
    </xf>
    <xf numFmtId="0" fontId="5" fillId="0" borderId="14" xfId="0" applyFont="1" applyFill="1" applyBorder="1" applyAlignment="1">
      <alignment horizontal="right" vertical="center" shrinkToFit="1" readingOrder="2"/>
    </xf>
    <xf numFmtId="0" fontId="5" fillId="0" borderId="13" xfId="0" applyFont="1" applyFill="1" applyBorder="1" applyAlignment="1">
      <alignment horizontal="right" vertical="center" shrinkToFit="1" readingOrder="2"/>
    </xf>
    <xf numFmtId="0" fontId="5" fillId="0" borderId="0" xfId="0" applyFont="1" applyAlignment="1">
      <alignment horizontal="right" vertical="center" shrinkToFit="1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horizontal="left"/>
      <protection hidden="1"/>
    </xf>
    <xf numFmtId="0" fontId="10" fillId="0" borderId="0" xfId="0" applyFont="1" applyProtection="1">
      <protection hidden="1"/>
    </xf>
    <xf numFmtId="0" fontId="5" fillId="0" borderId="10" xfId="0" applyFont="1" applyFill="1" applyBorder="1" applyAlignment="1">
      <alignment horizontal="center" vertical="center" wrapText="1" readingOrder="2"/>
    </xf>
    <xf numFmtId="0" fontId="1" fillId="3" borderId="1" xfId="0" applyFont="1" applyFill="1" applyBorder="1" applyAlignment="1">
      <alignment horizontal="center" vertical="center" readingOrder="2"/>
    </xf>
    <xf numFmtId="0" fontId="0" fillId="0" borderId="44" xfId="0" applyBorder="1" applyAlignment="1">
      <alignment horizontal="center" vertical="center"/>
    </xf>
    <xf numFmtId="0" fontId="0" fillId="6" borderId="44" xfId="0" applyFill="1" applyBorder="1" applyAlignment="1">
      <alignment horizontal="center" vertical="center"/>
    </xf>
    <xf numFmtId="0" fontId="0" fillId="7" borderId="44" xfId="0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5" borderId="44" xfId="0" applyFill="1" applyBorder="1" applyAlignment="1">
      <alignment horizontal="center" vertical="center"/>
    </xf>
    <xf numFmtId="0" fontId="10" fillId="0" borderId="0" xfId="0" applyFont="1" applyAlignment="1" applyProtection="1">
      <alignment horizontal="center" vertical="center"/>
      <protection hidden="1"/>
    </xf>
    <xf numFmtId="0" fontId="1" fillId="0" borderId="7" xfId="0" applyFont="1" applyBorder="1" applyAlignment="1">
      <alignment horizontal="center" vertical="center" readingOrder="2"/>
    </xf>
    <xf numFmtId="0" fontId="1" fillId="0" borderId="9" xfId="0" applyFont="1" applyBorder="1" applyAlignment="1">
      <alignment horizontal="center" vertical="center" readingOrder="2"/>
    </xf>
    <xf numFmtId="0" fontId="1" fillId="0" borderId="6" xfId="0" applyFont="1" applyBorder="1" applyAlignment="1">
      <alignment horizontal="center" vertical="center" readingOrder="2"/>
    </xf>
    <xf numFmtId="0" fontId="1" fillId="0" borderId="1" xfId="0" applyFont="1" applyBorder="1" applyAlignment="1">
      <alignment horizontal="center" vertical="center" readingOrder="2"/>
    </xf>
    <xf numFmtId="0" fontId="1" fillId="0" borderId="8" xfId="0" applyFont="1" applyBorder="1" applyAlignment="1">
      <alignment horizontal="center" vertical="center" readingOrder="2"/>
    </xf>
    <xf numFmtId="0" fontId="1" fillId="0" borderId="13" xfId="0" applyFont="1" applyBorder="1" applyAlignment="1">
      <alignment horizontal="center" vertical="center" readingOrder="2"/>
    </xf>
    <xf numFmtId="0" fontId="1" fillId="0" borderId="18" xfId="0" applyFont="1" applyBorder="1" applyAlignment="1">
      <alignment horizontal="center" vertical="center" readingOrder="2"/>
    </xf>
    <xf numFmtId="0" fontId="1" fillId="0" borderId="4" xfId="0" applyFont="1" applyBorder="1" applyAlignment="1">
      <alignment horizontal="center" vertical="center" readingOrder="2"/>
    </xf>
    <xf numFmtId="0" fontId="1" fillId="0" borderId="3" xfId="0" applyFont="1" applyBorder="1" applyAlignment="1">
      <alignment horizontal="center" vertical="center" readingOrder="2"/>
    </xf>
    <xf numFmtId="0" fontId="1" fillId="0" borderId="12" xfId="0" applyFont="1" applyBorder="1" applyAlignment="1">
      <alignment horizontal="center" vertical="center" readingOrder="2"/>
    </xf>
    <xf numFmtId="0" fontId="1" fillId="0" borderId="11" xfId="0" applyFont="1" applyBorder="1" applyAlignment="1">
      <alignment horizontal="center" vertical="center" readingOrder="2"/>
    </xf>
    <xf numFmtId="0" fontId="3" fillId="0" borderId="36" xfId="0" applyFont="1" applyBorder="1" applyAlignment="1">
      <alignment horizontal="center" vertical="center" readingOrder="2"/>
    </xf>
    <xf numFmtId="0" fontId="10" fillId="0" borderId="0" xfId="0" applyFont="1" applyAlignment="1" applyProtection="1">
      <alignment horizontal="left" vertical="center"/>
      <protection hidden="1"/>
    </xf>
    <xf numFmtId="0" fontId="10" fillId="0" borderId="0" xfId="0" applyFont="1" applyAlignment="1" applyProtection="1">
      <alignment horizontal="left"/>
      <protection hidden="1"/>
    </xf>
    <xf numFmtId="0" fontId="10" fillId="0" borderId="0" xfId="0" applyFont="1" applyAlignment="1" applyProtection="1">
      <alignment horizontal="center"/>
      <protection hidden="1"/>
    </xf>
    <xf numFmtId="0" fontId="1" fillId="0" borderId="1" xfId="0" applyFont="1" applyFill="1" applyBorder="1" applyAlignment="1">
      <alignment horizontal="center" vertical="center" shrinkToFit="1" readingOrder="2"/>
    </xf>
    <xf numFmtId="0" fontId="11" fillId="8" borderId="43" xfId="0" applyFont="1" applyFill="1" applyBorder="1" applyAlignment="1">
      <alignment horizontal="center" vertical="center" textRotation="90"/>
    </xf>
    <xf numFmtId="0" fontId="11" fillId="9" borderId="43" xfId="0" applyFont="1" applyFill="1" applyBorder="1" applyAlignment="1">
      <alignment horizontal="center" vertical="center" textRotation="90"/>
    </xf>
    <xf numFmtId="0" fontId="11" fillId="10" borderId="43" xfId="0" applyFont="1" applyFill="1" applyBorder="1" applyAlignment="1">
      <alignment horizontal="center" vertical="center" textRotation="90"/>
    </xf>
    <xf numFmtId="0" fontId="1" fillId="3" borderId="1" xfId="0" applyFont="1" applyFill="1" applyBorder="1" applyAlignment="1">
      <alignment horizontal="center" vertical="center" readingOrder="2"/>
    </xf>
    <xf numFmtId="0" fontId="1" fillId="3" borderId="1" xfId="0" applyFont="1" applyFill="1" applyBorder="1" applyAlignment="1">
      <alignment horizontal="center" vertical="center" readingOrder="2"/>
    </xf>
    <xf numFmtId="0" fontId="1" fillId="4" borderId="1" xfId="0" applyFont="1" applyFill="1" applyBorder="1" applyAlignment="1">
      <alignment horizontal="center" vertical="center" readingOrder="2"/>
    </xf>
    <xf numFmtId="0" fontId="5" fillId="0" borderId="10" xfId="0" applyFont="1" applyFill="1" applyBorder="1" applyAlignment="1">
      <alignment horizontal="center" vertical="center" wrapText="1" readingOrder="2"/>
    </xf>
    <xf numFmtId="0" fontId="5" fillId="0" borderId="7" xfId="0" applyFont="1" applyFill="1" applyBorder="1" applyAlignment="1">
      <alignment horizontal="center" vertical="center" wrapText="1" readingOrder="2"/>
    </xf>
    <xf numFmtId="0" fontId="1" fillId="0" borderId="10" xfId="0" applyFont="1" applyFill="1" applyBorder="1" applyAlignment="1">
      <alignment horizontal="center" vertical="center" wrapText="1" readingOrder="2"/>
    </xf>
    <xf numFmtId="0" fontId="1" fillId="0" borderId="5" xfId="0" applyFont="1" applyFill="1" applyBorder="1" applyAlignment="1">
      <alignment horizontal="center" vertical="center" wrapText="1" readingOrder="2"/>
    </xf>
    <xf numFmtId="0" fontId="1" fillId="0" borderId="7" xfId="0" applyFont="1" applyFill="1" applyBorder="1" applyAlignment="1">
      <alignment horizontal="center" vertical="center" wrapText="1" readingOrder="2"/>
    </xf>
    <xf numFmtId="0" fontId="5" fillId="0" borderId="5" xfId="0" applyFont="1" applyFill="1" applyBorder="1" applyAlignment="1">
      <alignment horizontal="center" vertical="center" wrapText="1" readingOrder="2"/>
    </xf>
    <xf numFmtId="0" fontId="1" fillId="0" borderId="33" xfId="0" applyFont="1" applyFill="1" applyBorder="1" applyAlignment="1">
      <alignment horizontal="center" vertical="center" readingOrder="2"/>
    </xf>
    <xf numFmtId="0" fontId="1" fillId="0" borderId="34" xfId="0" applyFont="1" applyFill="1" applyBorder="1" applyAlignment="1">
      <alignment horizontal="center" vertical="center" readingOrder="2"/>
    </xf>
    <xf numFmtId="0" fontId="1" fillId="0" borderId="35" xfId="0" applyFont="1" applyFill="1" applyBorder="1" applyAlignment="1">
      <alignment horizontal="center" vertical="center" readingOrder="2"/>
    </xf>
    <xf numFmtId="0" fontId="5" fillId="0" borderId="6" xfId="0" applyFont="1" applyFill="1" applyBorder="1" applyAlignment="1">
      <alignment horizontal="center" vertical="center" wrapText="1" readingOrder="2"/>
    </xf>
    <xf numFmtId="0" fontId="5" fillId="0" borderId="1" xfId="0" applyFont="1" applyFill="1" applyBorder="1" applyAlignment="1">
      <alignment horizontal="center" vertical="center" wrapText="1" readingOrder="2"/>
    </xf>
    <xf numFmtId="0" fontId="5" fillId="0" borderId="8" xfId="0" applyFont="1" applyFill="1" applyBorder="1" applyAlignment="1">
      <alignment horizontal="center" vertical="center" wrapText="1" readingOrder="2"/>
    </xf>
    <xf numFmtId="0" fontId="1" fillId="0" borderId="6" xfId="0" applyFont="1" applyFill="1" applyBorder="1" applyAlignment="1">
      <alignment horizontal="center" vertical="center" wrapText="1" readingOrder="2"/>
    </xf>
    <xf numFmtId="0" fontId="6" fillId="0" borderId="5" xfId="0" applyFont="1" applyFill="1" applyBorder="1" applyAlignment="1">
      <alignment horizontal="center" vertical="center" wrapText="1" readingOrder="2"/>
    </xf>
    <xf numFmtId="0" fontId="6" fillId="0" borderId="7" xfId="0" applyFont="1" applyFill="1" applyBorder="1" applyAlignment="1">
      <alignment horizontal="center" vertical="center" wrapText="1" readingOrder="2"/>
    </xf>
    <xf numFmtId="0" fontId="1" fillId="0" borderId="42" xfId="0" applyFont="1" applyFill="1" applyBorder="1" applyAlignment="1">
      <alignment horizontal="center" vertical="center" shrinkToFit="1" readingOrder="2"/>
    </xf>
    <xf numFmtId="0" fontId="1" fillId="0" borderId="2" xfId="0" applyFont="1" applyFill="1" applyBorder="1" applyAlignment="1">
      <alignment horizontal="center" vertical="center" shrinkToFit="1" readingOrder="2"/>
    </xf>
    <xf numFmtId="0" fontId="1" fillId="0" borderId="3" xfId="0" applyFont="1" applyFill="1" applyBorder="1" applyAlignment="1">
      <alignment horizontal="center" vertical="center" shrinkToFit="1" readingOrder="2"/>
    </xf>
    <xf numFmtId="0" fontId="1" fillId="0" borderId="2" xfId="0" applyFont="1" applyFill="1" applyBorder="1" applyAlignment="1">
      <alignment horizontal="left" vertical="center" shrinkToFit="1" readingOrder="2"/>
    </xf>
    <xf numFmtId="0" fontId="1" fillId="0" borderId="3" xfId="0" applyFont="1" applyFill="1" applyBorder="1" applyAlignment="1">
      <alignment horizontal="left" vertical="center" shrinkToFit="1" readingOrder="2"/>
    </xf>
    <xf numFmtId="0" fontId="1" fillId="0" borderId="1" xfId="0" applyFont="1" applyFill="1" applyBorder="1" applyAlignment="1">
      <alignment horizontal="center" vertical="center" shrinkToFit="1" readingOrder="2"/>
    </xf>
    <xf numFmtId="0" fontId="1" fillId="0" borderId="14" xfId="0" applyFont="1" applyFill="1" applyBorder="1" applyAlignment="1">
      <alignment horizontal="center" vertical="center" shrinkToFit="1" readingOrder="2"/>
    </xf>
    <xf numFmtId="0" fontId="1" fillId="0" borderId="5" xfId="0" applyFont="1" applyFill="1" applyBorder="1" applyAlignment="1">
      <alignment horizontal="center" vertical="center" shrinkToFit="1" readingOrder="2"/>
    </xf>
    <xf numFmtId="0" fontId="1" fillId="0" borderId="6" xfId="0" applyFont="1" applyFill="1" applyBorder="1" applyAlignment="1">
      <alignment horizontal="center" vertical="center" shrinkToFit="1" readingOrder="2"/>
    </xf>
    <xf numFmtId="164" fontId="3" fillId="0" borderId="42" xfId="0" applyNumberFormat="1" applyFont="1" applyFill="1" applyBorder="1" applyAlignment="1">
      <alignment horizontal="center" vertical="center" shrinkToFit="1" readingOrder="2"/>
    </xf>
    <xf numFmtId="164" fontId="3" fillId="0" borderId="2" xfId="0" applyNumberFormat="1" applyFont="1" applyFill="1" applyBorder="1" applyAlignment="1">
      <alignment horizontal="center" vertical="center" shrinkToFit="1" readingOrder="2"/>
    </xf>
    <xf numFmtId="164" fontId="3" fillId="0" borderId="3" xfId="0" applyNumberFormat="1" applyFont="1" applyFill="1" applyBorder="1" applyAlignment="1">
      <alignment horizontal="center" vertical="center" shrinkToFit="1" readingOrder="2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0</xdr:row>
          <xdr:rowOff>85725</xdr:rowOff>
        </xdr:from>
        <xdr:to>
          <xdr:col>6</xdr:col>
          <xdr:colOff>133350</xdr:colOff>
          <xdr:row>2</xdr:row>
          <xdr:rowOff>114300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Print to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H2"/>
  <sheetViews>
    <sheetView rightToLeft="1" workbookViewId="0">
      <pane ySplit="3" topLeftCell="A4" activePane="bottomLeft" state="frozen"/>
      <selection pane="bottomLeft" activeCell="C2" sqref="C2"/>
    </sheetView>
  </sheetViews>
  <sheetFormatPr defaultColWidth="9.140625" defaultRowHeight="15"/>
  <cols>
    <col min="1" max="1" width="9.140625" style="89"/>
    <col min="2" max="2" width="27.140625" style="89" customWidth="1"/>
    <col min="3" max="3" width="37" style="90" customWidth="1"/>
    <col min="4" max="4" width="10.28515625" style="90" customWidth="1"/>
    <col min="5" max="5" width="9.140625" style="89" customWidth="1"/>
    <col min="6" max="6" width="11.85546875" style="89" customWidth="1"/>
    <col min="7" max="7" width="10.42578125" style="89" customWidth="1"/>
    <col min="8" max="16384" width="9.140625" style="89"/>
  </cols>
  <sheetData>
    <row r="1" spans="2:8" ht="21" customHeight="1">
      <c r="E1" s="100"/>
      <c r="F1" s="100"/>
      <c r="G1" s="100"/>
    </row>
    <row r="2" spans="2:8">
      <c r="B2" s="91" t="s">
        <v>494</v>
      </c>
      <c r="C2" s="88" t="s">
        <v>502</v>
      </c>
      <c r="D2" s="113">
        <f>MATCH(C2,Link!G1:CZ1,0)</f>
        <v>21</v>
      </c>
      <c r="E2" s="114" t="str">
        <f>F2 &amp; IF(MOD(D2+6,26)=0,"Z", CHAR(64+MOD(D2+6,26)))</f>
        <v>AA</v>
      </c>
      <c r="F2" s="115" t="str">
        <f>IF(D2&lt;21,"",CHAR(64+(D2+6)/26))</f>
        <v>A</v>
      </c>
      <c r="G2" s="92"/>
      <c r="H2" s="92" t="s">
        <v>495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Button1_Click">
                <anchor moveWithCells="1" sizeWithCells="1">
                  <from>
                    <xdr:col>3</xdr:col>
                    <xdr:colOff>381000</xdr:colOff>
                    <xdr:row>0</xdr:row>
                    <xdr:rowOff>85725</xdr:rowOff>
                  </from>
                  <to>
                    <xdr:col>6</xdr:col>
                    <xdr:colOff>133350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Link!$G$1:$ZZ$1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"/>
  <sheetViews>
    <sheetView rightToLeft="1" workbookViewId="0">
      <selection activeCell="G25" sqref="G25"/>
    </sheetView>
  </sheetViews>
  <sheetFormatPr defaultRowHeight="15"/>
  <cols>
    <col min="1" max="1" width="15.7109375" bestFit="1" customWidth="1"/>
    <col min="2" max="2" width="6.42578125" customWidth="1"/>
  </cols>
  <sheetData>
    <row r="1" spans="1:2" ht="18.75">
      <c r="A1" s="45" t="s">
        <v>305</v>
      </c>
      <c r="B1" s="46" t="s">
        <v>306</v>
      </c>
    </row>
    <row r="2" spans="1:2">
      <c r="A2" s="43" t="s">
        <v>293</v>
      </c>
      <c r="B2" s="44" t="s">
        <v>298</v>
      </c>
    </row>
    <row r="3" spans="1:2">
      <c r="A3" s="43" t="s">
        <v>294</v>
      </c>
      <c r="B3" s="44" t="s">
        <v>299</v>
      </c>
    </row>
    <row r="4" spans="1:2">
      <c r="A4" s="43" t="s">
        <v>292</v>
      </c>
      <c r="B4" s="44" t="s">
        <v>300</v>
      </c>
    </row>
    <row r="5" spans="1:2">
      <c r="A5" s="43" t="s">
        <v>295</v>
      </c>
      <c r="B5" s="44" t="s">
        <v>301</v>
      </c>
    </row>
    <row r="6" spans="1:2">
      <c r="A6" s="43" t="s">
        <v>296</v>
      </c>
      <c r="B6" s="44" t="s">
        <v>302</v>
      </c>
    </row>
    <row r="7" spans="1:2">
      <c r="A7" s="43" t="s">
        <v>297</v>
      </c>
      <c r="B7" s="44" t="s">
        <v>303</v>
      </c>
    </row>
    <row r="8" spans="1:2">
      <c r="A8" s="43" t="s">
        <v>194</v>
      </c>
      <c r="B8" s="44" t="s">
        <v>304</v>
      </c>
    </row>
    <row r="9" spans="1:2">
      <c r="A9" s="43" t="s">
        <v>350</v>
      </c>
      <c r="B9" s="44" t="s">
        <v>351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A1:AO92"/>
  <sheetViews>
    <sheetView rightToLeft="1" tabSelected="1" zoomScale="60" zoomScaleNormal="60" workbookViewId="0">
      <pane ySplit="1" topLeftCell="A2" activePane="bottomLeft" state="frozen"/>
      <selection pane="bottomLeft" activeCell="V9" sqref="V9"/>
    </sheetView>
  </sheetViews>
  <sheetFormatPr defaultRowHeight="15"/>
  <cols>
    <col min="1" max="1" width="12.42578125" bestFit="1" customWidth="1"/>
    <col min="2" max="2" width="15.7109375" bestFit="1" customWidth="1"/>
    <col min="3" max="3" width="15" bestFit="1" customWidth="1"/>
    <col min="4" max="4" width="37.28515625" bestFit="1" customWidth="1"/>
    <col min="5" max="5" width="17.42578125" bestFit="1" customWidth="1"/>
    <col min="7" max="8" width="4.42578125" bestFit="1" customWidth="1"/>
    <col min="9" max="10" width="4.42578125" customWidth="1"/>
    <col min="11" max="41" width="4.42578125" bestFit="1" customWidth="1"/>
  </cols>
  <sheetData>
    <row r="1" spans="1:41" ht="156.75">
      <c r="A1" s="1" t="s">
        <v>0</v>
      </c>
      <c r="B1" s="1" t="s">
        <v>52</v>
      </c>
      <c r="C1" s="1" t="s">
        <v>53</v>
      </c>
      <c r="D1" s="1" t="s">
        <v>54</v>
      </c>
      <c r="E1" s="1"/>
      <c r="G1" s="117" t="s">
        <v>509</v>
      </c>
      <c r="H1" s="117" t="s">
        <v>510</v>
      </c>
      <c r="I1" s="117" t="s">
        <v>511</v>
      </c>
      <c r="J1" s="117"/>
      <c r="K1" s="117" t="s">
        <v>512</v>
      </c>
      <c r="L1" s="117" t="s">
        <v>513</v>
      </c>
      <c r="M1" s="117" t="s">
        <v>514</v>
      </c>
      <c r="N1" s="117" t="s">
        <v>515</v>
      </c>
      <c r="O1" s="118" t="s">
        <v>516</v>
      </c>
      <c r="P1" s="118" t="s">
        <v>517</v>
      </c>
      <c r="Q1" s="118" t="s">
        <v>518</v>
      </c>
      <c r="R1" s="118" t="s">
        <v>519</v>
      </c>
      <c r="S1" s="118" t="s">
        <v>520</v>
      </c>
      <c r="T1" s="118" t="s">
        <v>521</v>
      </c>
      <c r="U1" s="117" t="s">
        <v>522</v>
      </c>
      <c r="V1" s="117" t="s">
        <v>497</v>
      </c>
      <c r="W1" s="117" t="s">
        <v>498</v>
      </c>
      <c r="X1" s="117" t="s">
        <v>499</v>
      </c>
      <c r="Y1" s="117" t="s">
        <v>500</v>
      </c>
      <c r="Z1" s="118" t="s">
        <v>501</v>
      </c>
      <c r="AA1" s="118" t="s">
        <v>502</v>
      </c>
      <c r="AB1" s="118" t="s">
        <v>503</v>
      </c>
      <c r="AC1" s="118" t="s">
        <v>504</v>
      </c>
      <c r="AD1" s="119" t="s">
        <v>523</v>
      </c>
      <c r="AE1" s="119" t="s">
        <v>524</v>
      </c>
      <c r="AF1" s="119" t="s">
        <v>525</v>
      </c>
      <c r="AG1" s="119" t="s">
        <v>526</v>
      </c>
      <c r="AH1" s="118" t="s">
        <v>527</v>
      </c>
      <c r="AI1" s="118" t="s">
        <v>528</v>
      </c>
      <c r="AJ1" s="118" t="s">
        <v>529</v>
      </c>
      <c r="AK1" s="118" t="s">
        <v>530</v>
      </c>
      <c r="AL1" s="117" t="s">
        <v>531</v>
      </c>
      <c r="AM1" s="117" t="s">
        <v>532</v>
      </c>
      <c r="AN1" s="117" t="s">
        <v>533</v>
      </c>
      <c r="AO1" s="117" t="s">
        <v>534</v>
      </c>
    </row>
    <row r="2" spans="1:41" ht="18">
      <c r="A2" s="2">
        <v>1</v>
      </c>
      <c r="B2" s="121" t="s">
        <v>55</v>
      </c>
      <c r="C2" s="2" t="s">
        <v>3</v>
      </c>
      <c r="D2" s="2" t="s">
        <v>33</v>
      </c>
      <c r="E2" s="2"/>
      <c r="G2" s="95">
        <v>1</v>
      </c>
      <c r="H2" s="95">
        <v>1</v>
      </c>
      <c r="I2" s="95"/>
      <c r="J2" s="95"/>
      <c r="K2" s="95">
        <v>1</v>
      </c>
      <c r="L2" s="95">
        <v>1</v>
      </c>
      <c r="M2" s="95"/>
      <c r="N2" s="95"/>
      <c r="O2" s="95"/>
      <c r="P2" s="95">
        <v>1</v>
      </c>
      <c r="Q2" s="95">
        <v>1</v>
      </c>
      <c r="R2" s="95">
        <v>1</v>
      </c>
      <c r="S2" s="95">
        <v>1</v>
      </c>
      <c r="T2" s="95"/>
      <c r="U2" s="95"/>
      <c r="V2" s="95"/>
      <c r="W2" s="95">
        <v>1</v>
      </c>
      <c r="X2" s="95"/>
      <c r="Y2" s="95"/>
      <c r="Z2" s="95"/>
      <c r="AA2" s="95"/>
      <c r="AB2" s="95">
        <v>1</v>
      </c>
      <c r="AC2" s="95"/>
      <c r="AD2" s="95"/>
      <c r="AE2" s="95"/>
      <c r="AF2" s="95"/>
      <c r="AG2" s="95"/>
      <c r="AH2" s="95"/>
      <c r="AI2" s="95"/>
      <c r="AJ2" s="95"/>
      <c r="AK2" s="95"/>
      <c r="AL2" s="95"/>
      <c r="AM2" s="95"/>
      <c r="AN2" s="95"/>
      <c r="AO2" s="95"/>
    </row>
    <row r="3" spans="1:41" ht="18" customHeight="1">
      <c r="A3" s="2">
        <v>2</v>
      </c>
      <c r="B3" s="121"/>
      <c r="C3" s="2" t="s">
        <v>2</v>
      </c>
      <c r="D3" s="2" t="s">
        <v>33</v>
      </c>
      <c r="E3" s="2"/>
      <c r="G3" s="96"/>
      <c r="H3" s="96"/>
      <c r="I3" s="96"/>
      <c r="J3" s="96"/>
      <c r="K3" s="96"/>
      <c r="L3" s="96"/>
      <c r="M3" s="96"/>
      <c r="N3" s="96"/>
      <c r="O3" s="96"/>
      <c r="P3" s="96">
        <v>1</v>
      </c>
      <c r="Q3" s="96"/>
      <c r="R3" s="96"/>
      <c r="S3" s="96">
        <v>1</v>
      </c>
      <c r="T3" s="96"/>
      <c r="U3" s="96"/>
      <c r="V3" s="96"/>
      <c r="W3" s="96"/>
      <c r="X3" s="96"/>
      <c r="Y3" s="96"/>
      <c r="Z3" s="96"/>
      <c r="AA3" s="96"/>
      <c r="AB3" s="96"/>
      <c r="AC3" s="96"/>
      <c r="AD3" s="96">
        <v>1</v>
      </c>
      <c r="AE3" s="96"/>
      <c r="AF3" s="96"/>
      <c r="AG3" s="96">
        <v>1</v>
      </c>
      <c r="AH3" s="96">
        <v>2</v>
      </c>
      <c r="AI3" s="96"/>
      <c r="AJ3" s="96"/>
      <c r="AK3" s="96"/>
      <c r="AL3" s="96"/>
      <c r="AM3" s="96"/>
      <c r="AN3" s="96"/>
      <c r="AO3" s="96"/>
    </row>
    <row r="4" spans="1:41" ht="18" customHeight="1">
      <c r="A4" s="2">
        <v>3</v>
      </c>
      <c r="B4" s="121"/>
      <c r="C4" s="2" t="s">
        <v>535</v>
      </c>
      <c r="D4" s="2" t="s">
        <v>56</v>
      </c>
      <c r="E4" s="2"/>
      <c r="G4" s="95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  <c r="AC4" s="95"/>
      <c r="AD4" s="95"/>
      <c r="AE4" s="95"/>
      <c r="AF4" s="95"/>
      <c r="AG4" s="95"/>
      <c r="AH4" s="95"/>
      <c r="AI4" s="95"/>
      <c r="AJ4" s="95"/>
      <c r="AK4" s="95"/>
      <c r="AL4" s="95"/>
      <c r="AM4" s="95"/>
      <c r="AN4" s="95"/>
      <c r="AO4" s="95"/>
    </row>
    <row r="5" spans="1:41" ht="18" customHeight="1">
      <c r="A5" s="2">
        <v>4</v>
      </c>
      <c r="B5" s="121"/>
      <c r="C5" s="2" t="s">
        <v>536</v>
      </c>
      <c r="D5" s="2" t="s">
        <v>56</v>
      </c>
      <c r="E5" s="2"/>
      <c r="G5" s="96"/>
      <c r="H5" s="96"/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  <c r="T5" s="96"/>
      <c r="U5" s="96"/>
      <c r="V5" s="96"/>
      <c r="W5" s="96"/>
      <c r="X5" s="96"/>
      <c r="Y5" s="96"/>
      <c r="Z5" s="96"/>
      <c r="AA5" s="96"/>
      <c r="AB5" s="96"/>
      <c r="AC5" s="96"/>
      <c r="AD5" s="96"/>
      <c r="AE5" s="96"/>
      <c r="AF5" s="96"/>
      <c r="AG5" s="96"/>
      <c r="AH5" s="96"/>
      <c r="AI5" s="96"/>
      <c r="AJ5" s="96"/>
      <c r="AK5" s="96"/>
      <c r="AL5" s="96"/>
      <c r="AM5" s="96"/>
      <c r="AN5" s="96"/>
      <c r="AO5" s="96"/>
    </row>
    <row r="6" spans="1:41" ht="18.75" customHeight="1">
      <c r="A6" s="2">
        <v>5</v>
      </c>
      <c r="B6" s="121"/>
      <c r="C6" s="2" t="s">
        <v>537</v>
      </c>
      <c r="D6" s="2" t="s">
        <v>56</v>
      </c>
      <c r="E6" s="2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5"/>
      <c r="AN6" s="95"/>
      <c r="AO6" s="95"/>
    </row>
    <row r="7" spans="1:41" ht="18" customHeight="1">
      <c r="A7" s="2">
        <v>6</v>
      </c>
      <c r="B7" s="121"/>
      <c r="C7" s="2" t="s">
        <v>538</v>
      </c>
      <c r="D7" s="2" t="s">
        <v>56</v>
      </c>
      <c r="E7" s="2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6"/>
      <c r="AI7" s="96"/>
      <c r="AJ7" s="96"/>
      <c r="AK7" s="96"/>
      <c r="AL7" s="96"/>
      <c r="AM7" s="96"/>
      <c r="AN7" s="96"/>
      <c r="AO7" s="96"/>
    </row>
    <row r="8" spans="1:41" ht="18" customHeight="1">
      <c r="A8" s="2">
        <v>7</v>
      </c>
      <c r="B8" s="121"/>
      <c r="C8" s="2" t="s">
        <v>539</v>
      </c>
      <c r="D8" s="2" t="s">
        <v>56</v>
      </c>
      <c r="E8" s="2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  <c r="AB8" s="95"/>
      <c r="AC8" s="95"/>
      <c r="AD8" s="95"/>
      <c r="AE8" s="95"/>
      <c r="AF8" s="95"/>
      <c r="AG8" s="95"/>
      <c r="AH8" s="95"/>
      <c r="AI8" s="95"/>
      <c r="AJ8" s="95"/>
      <c r="AK8" s="95"/>
      <c r="AL8" s="95"/>
      <c r="AM8" s="95"/>
      <c r="AN8" s="95"/>
      <c r="AO8" s="95"/>
    </row>
    <row r="9" spans="1:41" ht="18.75" customHeight="1">
      <c r="A9" s="2">
        <v>8</v>
      </c>
      <c r="B9" s="121"/>
      <c r="C9" s="2" t="s">
        <v>540</v>
      </c>
      <c r="D9" s="2" t="s">
        <v>56</v>
      </c>
      <c r="E9" s="2"/>
      <c r="G9" s="96"/>
      <c r="H9" s="96"/>
      <c r="I9" s="96"/>
      <c r="J9" s="96"/>
      <c r="K9" s="96"/>
      <c r="L9" s="96"/>
      <c r="M9" s="96"/>
      <c r="N9" s="96"/>
      <c r="O9" s="96"/>
      <c r="P9" s="96"/>
      <c r="Q9" s="96"/>
      <c r="R9" s="96"/>
      <c r="S9" s="96">
        <v>1</v>
      </c>
      <c r="T9" s="96"/>
      <c r="U9" s="96"/>
      <c r="V9" s="96"/>
      <c r="W9" s="96"/>
      <c r="X9" s="96"/>
      <c r="Y9" s="96"/>
      <c r="Z9" s="96"/>
      <c r="AA9" s="96"/>
      <c r="AB9" s="96"/>
      <c r="AC9" s="96"/>
      <c r="AD9" s="96"/>
      <c r="AE9" s="96"/>
      <c r="AF9" s="96"/>
      <c r="AG9" s="96"/>
      <c r="AH9" s="96"/>
      <c r="AI9" s="96"/>
      <c r="AJ9" s="96"/>
      <c r="AK9" s="96"/>
      <c r="AL9" s="96"/>
      <c r="AM9" s="96"/>
      <c r="AN9" s="96"/>
      <c r="AO9" s="96"/>
    </row>
    <row r="10" spans="1:41" ht="18" customHeight="1">
      <c r="A10" s="2">
        <v>9</v>
      </c>
      <c r="B10" s="121"/>
      <c r="C10" s="2" t="s">
        <v>541</v>
      </c>
      <c r="D10" s="2" t="s">
        <v>56</v>
      </c>
      <c r="E10" s="2"/>
      <c r="G10" s="95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  <c r="AC10" s="95"/>
      <c r="AD10" s="95"/>
      <c r="AE10" s="95"/>
      <c r="AF10" s="95"/>
      <c r="AG10" s="95"/>
      <c r="AH10" s="95"/>
      <c r="AI10" s="95"/>
      <c r="AJ10" s="95"/>
      <c r="AK10" s="95"/>
      <c r="AL10" s="95"/>
      <c r="AM10" s="95"/>
      <c r="AN10" s="95"/>
      <c r="AO10" s="95"/>
    </row>
    <row r="11" spans="1:41" ht="18">
      <c r="A11" s="2">
        <v>10</v>
      </c>
      <c r="B11" s="121"/>
      <c r="C11" s="2" t="s">
        <v>542</v>
      </c>
      <c r="D11" s="2" t="s">
        <v>56</v>
      </c>
      <c r="E11" s="2"/>
      <c r="G11" s="96"/>
      <c r="H11" s="96"/>
      <c r="I11" s="96"/>
      <c r="J11" s="96"/>
      <c r="K11" s="96"/>
      <c r="L11" s="96">
        <v>1</v>
      </c>
      <c r="M11" s="96"/>
      <c r="N11" s="96"/>
      <c r="O11" s="96"/>
      <c r="P11" s="96"/>
      <c r="Q11" s="96">
        <v>1</v>
      </c>
      <c r="R11" s="96"/>
      <c r="S11" s="96"/>
      <c r="T11" s="96"/>
      <c r="U11" s="96"/>
      <c r="V11" s="96"/>
      <c r="W11" s="96">
        <v>1</v>
      </c>
      <c r="X11" s="96"/>
      <c r="Y11" s="96"/>
      <c r="Z11" s="96"/>
      <c r="AA11" s="96"/>
      <c r="AB11" s="96"/>
      <c r="AC11" s="96"/>
      <c r="AD11" s="96"/>
      <c r="AE11" s="96"/>
      <c r="AF11" s="96"/>
      <c r="AG11" s="96"/>
      <c r="AH11" s="96"/>
      <c r="AI11" s="96"/>
      <c r="AJ11" s="96"/>
      <c r="AK11" s="96"/>
      <c r="AL11" s="96"/>
      <c r="AM11" s="96"/>
      <c r="AN11" s="96"/>
      <c r="AO11" s="96"/>
    </row>
    <row r="12" spans="1:41" ht="18">
      <c r="A12" s="2">
        <v>11</v>
      </c>
      <c r="B12" s="121"/>
      <c r="C12" s="2" t="s">
        <v>543</v>
      </c>
      <c r="D12" s="2" t="s">
        <v>56</v>
      </c>
      <c r="E12" s="2"/>
      <c r="G12" s="95">
        <v>1</v>
      </c>
      <c r="H12" s="95">
        <v>1</v>
      </c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>
        <v>1</v>
      </c>
      <c r="AC12" s="95"/>
      <c r="AD12" s="95"/>
      <c r="AE12" s="95"/>
      <c r="AF12" s="95"/>
      <c r="AG12" s="95"/>
      <c r="AH12" s="95"/>
      <c r="AI12" s="95"/>
      <c r="AJ12" s="95"/>
      <c r="AK12" s="95"/>
      <c r="AL12" s="95"/>
      <c r="AM12" s="95"/>
      <c r="AN12" s="95"/>
      <c r="AO12" s="95"/>
    </row>
    <row r="13" spans="1:41" ht="18" customHeight="1">
      <c r="A13" s="2">
        <v>12</v>
      </c>
      <c r="B13" s="121"/>
      <c r="C13" s="2" t="s">
        <v>544</v>
      </c>
      <c r="D13" s="2" t="s">
        <v>56</v>
      </c>
      <c r="E13" s="2"/>
      <c r="G13" s="96"/>
      <c r="H13" s="96"/>
      <c r="I13" s="96"/>
      <c r="J13" s="96"/>
      <c r="K13" s="96"/>
      <c r="L13" s="96"/>
      <c r="M13" s="96"/>
      <c r="N13" s="96"/>
      <c r="O13" s="96"/>
      <c r="P13" s="96">
        <v>1</v>
      </c>
      <c r="Q13" s="96"/>
      <c r="R13" s="96"/>
      <c r="S13" s="96"/>
      <c r="T13" s="96"/>
      <c r="U13" s="96"/>
      <c r="V13" s="96"/>
      <c r="W13" s="96"/>
      <c r="X13" s="96"/>
      <c r="Y13" s="96"/>
      <c r="Z13" s="96"/>
      <c r="AA13" s="96"/>
      <c r="AB13" s="96"/>
      <c r="AC13" s="96">
        <v>1</v>
      </c>
      <c r="AD13" s="96"/>
      <c r="AE13" s="96">
        <v>1</v>
      </c>
      <c r="AF13" s="96"/>
      <c r="AG13" s="96"/>
      <c r="AH13" s="96">
        <v>1</v>
      </c>
      <c r="AI13" s="96"/>
      <c r="AJ13" s="96"/>
      <c r="AK13" s="96"/>
      <c r="AL13" s="96"/>
      <c r="AM13" s="96"/>
      <c r="AN13" s="96">
        <v>1</v>
      </c>
      <c r="AO13" s="96"/>
    </row>
    <row r="14" spans="1:41" ht="18" customHeight="1">
      <c r="A14" s="2">
        <v>13</v>
      </c>
      <c r="B14" s="121"/>
      <c r="C14" s="2" t="s">
        <v>545</v>
      </c>
      <c r="D14" s="2" t="s">
        <v>56</v>
      </c>
      <c r="E14" s="2"/>
      <c r="G14" s="95"/>
      <c r="H14" s="95"/>
      <c r="I14" s="95"/>
      <c r="J14" s="95"/>
      <c r="K14" s="95">
        <v>1</v>
      </c>
      <c r="L14" s="95"/>
      <c r="M14" s="95"/>
      <c r="N14" s="95"/>
      <c r="O14" s="95"/>
      <c r="P14" s="95"/>
      <c r="Q14" s="95"/>
      <c r="R14" s="95">
        <v>1</v>
      </c>
      <c r="S14" s="95"/>
      <c r="T14" s="95"/>
      <c r="U14" s="95"/>
      <c r="V14" s="95"/>
      <c r="W14" s="95"/>
      <c r="X14" s="95"/>
      <c r="Y14" s="95"/>
      <c r="Z14" s="95"/>
      <c r="AA14" s="95"/>
      <c r="AB14" s="95"/>
      <c r="AC14" s="95"/>
      <c r="AD14" s="95">
        <v>1</v>
      </c>
      <c r="AE14" s="95"/>
      <c r="AF14" s="95"/>
      <c r="AG14" s="95">
        <v>1</v>
      </c>
      <c r="AH14" s="95"/>
      <c r="AI14" s="95"/>
      <c r="AJ14" s="95"/>
      <c r="AK14" s="95"/>
      <c r="AL14" s="95"/>
      <c r="AM14" s="95"/>
      <c r="AN14" s="95"/>
      <c r="AO14" s="95">
        <v>1</v>
      </c>
    </row>
    <row r="15" spans="1:41" ht="18.75" customHeight="1">
      <c r="A15" s="2">
        <v>14</v>
      </c>
      <c r="B15" s="121"/>
      <c r="C15" s="2" t="s">
        <v>546</v>
      </c>
      <c r="D15" s="2" t="s">
        <v>56</v>
      </c>
      <c r="E15" s="2"/>
      <c r="G15" s="96"/>
      <c r="H15" s="96"/>
      <c r="I15" s="96">
        <v>1</v>
      </c>
      <c r="J15" s="96"/>
      <c r="K15" s="96"/>
      <c r="L15" s="96"/>
      <c r="M15" s="96">
        <v>1</v>
      </c>
      <c r="N15" s="96">
        <v>1</v>
      </c>
      <c r="O15" s="96">
        <v>1</v>
      </c>
      <c r="P15" s="96"/>
      <c r="Q15" s="96"/>
      <c r="R15" s="96"/>
      <c r="S15" s="96"/>
      <c r="T15" s="96">
        <v>1</v>
      </c>
      <c r="U15" s="96">
        <v>1</v>
      </c>
      <c r="V15" s="96">
        <v>1</v>
      </c>
      <c r="W15" s="96"/>
      <c r="X15" s="96">
        <v>1</v>
      </c>
      <c r="Y15" s="96"/>
      <c r="Z15" s="96">
        <v>1</v>
      </c>
      <c r="AA15" s="96">
        <v>1</v>
      </c>
      <c r="AB15" s="96"/>
      <c r="AC15" s="96"/>
      <c r="AD15" s="96"/>
      <c r="AE15" s="96"/>
      <c r="AF15" s="96">
        <v>1</v>
      </c>
      <c r="AG15" s="96"/>
      <c r="AH15" s="96"/>
      <c r="AI15" s="96">
        <v>1</v>
      </c>
      <c r="AJ15" s="96">
        <v>1</v>
      </c>
      <c r="AK15" s="96">
        <v>1</v>
      </c>
      <c r="AL15" s="96">
        <v>1</v>
      </c>
      <c r="AM15" s="96">
        <v>1</v>
      </c>
      <c r="AN15" s="96"/>
      <c r="AO15" s="96"/>
    </row>
    <row r="16" spans="1:41" ht="18">
      <c r="A16" s="2">
        <v>15</v>
      </c>
      <c r="B16" s="121"/>
      <c r="C16" s="2" t="s">
        <v>67</v>
      </c>
      <c r="D16" s="2" t="s">
        <v>68</v>
      </c>
      <c r="E16" s="2"/>
      <c r="G16" s="95"/>
      <c r="H16" s="95">
        <v>1</v>
      </c>
      <c r="I16" s="95"/>
      <c r="J16" s="95"/>
      <c r="K16" s="95">
        <v>1</v>
      </c>
      <c r="L16" s="95">
        <v>1</v>
      </c>
      <c r="M16" s="95"/>
      <c r="N16" s="95"/>
      <c r="O16" s="95"/>
      <c r="P16" s="95"/>
      <c r="Q16" s="95">
        <v>1</v>
      </c>
      <c r="R16" s="95">
        <v>1</v>
      </c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 s="95"/>
      <c r="AI16" s="95"/>
      <c r="AJ16" s="95"/>
      <c r="AK16" s="95"/>
      <c r="AL16" s="95"/>
      <c r="AM16" s="95"/>
      <c r="AN16" s="95"/>
      <c r="AO16" s="95"/>
    </row>
    <row r="17" spans="1:41" ht="18">
      <c r="A17" s="2">
        <v>16</v>
      </c>
      <c r="B17" s="121"/>
      <c r="C17" s="2" t="s">
        <v>4</v>
      </c>
      <c r="D17" s="2" t="s">
        <v>69</v>
      </c>
      <c r="E17" s="2"/>
      <c r="G17" s="96">
        <v>1</v>
      </c>
      <c r="H17" s="96"/>
      <c r="I17" s="96"/>
      <c r="J17" s="96"/>
      <c r="K17" s="96"/>
      <c r="L17" s="96"/>
      <c r="M17" s="96"/>
      <c r="N17" s="96"/>
      <c r="O17" s="96"/>
      <c r="P17" s="96">
        <v>1</v>
      </c>
      <c r="Q17" s="96"/>
      <c r="R17" s="96"/>
      <c r="S17" s="96">
        <v>1</v>
      </c>
      <c r="T17" s="96"/>
      <c r="U17" s="96"/>
      <c r="V17" s="96"/>
      <c r="W17" s="96">
        <v>1</v>
      </c>
      <c r="X17" s="96"/>
      <c r="Y17" s="96"/>
      <c r="Z17" s="96"/>
      <c r="AA17" s="96"/>
      <c r="AB17" s="96">
        <v>1</v>
      </c>
      <c r="AC17" s="96"/>
      <c r="AD17" s="96">
        <v>1</v>
      </c>
      <c r="AE17" s="96"/>
      <c r="AF17" s="96">
        <v>1</v>
      </c>
      <c r="AG17" s="96">
        <v>1</v>
      </c>
      <c r="AH17" s="96">
        <v>1</v>
      </c>
      <c r="AI17" s="96">
        <v>1</v>
      </c>
      <c r="AJ17" s="96">
        <v>1</v>
      </c>
      <c r="AK17" s="96"/>
      <c r="AL17" s="96"/>
      <c r="AM17" s="96">
        <v>1</v>
      </c>
      <c r="AN17" s="96"/>
      <c r="AO17" s="96"/>
    </row>
    <row r="18" spans="1:41" ht="18" customHeight="1">
      <c r="A18" s="2">
        <v>17</v>
      </c>
      <c r="B18" s="121"/>
      <c r="C18" s="2" t="s">
        <v>1</v>
      </c>
      <c r="D18" s="2" t="s">
        <v>70</v>
      </c>
      <c r="E18" s="2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95"/>
      <c r="AI18" s="95"/>
      <c r="AJ18" s="95"/>
      <c r="AK18" s="95"/>
      <c r="AL18" s="95"/>
      <c r="AM18" s="95"/>
      <c r="AN18" s="95"/>
      <c r="AO18" s="95"/>
    </row>
    <row r="19" spans="1:41" ht="18" customHeight="1">
      <c r="A19" s="3">
        <v>18</v>
      </c>
      <c r="B19" s="122" t="s">
        <v>36</v>
      </c>
      <c r="C19" s="3" t="s">
        <v>547</v>
      </c>
      <c r="D19" s="3" t="s">
        <v>72</v>
      </c>
      <c r="E19" s="3"/>
      <c r="G19" s="96"/>
      <c r="H19" s="96"/>
      <c r="I19" s="96"/>
      <c r="J19" s="96"/>
      <c r="K19" s="96"/>
      <c r="L19" s="96"/>
      <c r="M19" s="96"/>
      <c r="N19" s="96"/>
      <c r="O19" s="96"/>
      <c r="P19" s="96"/>
      <c r="Q19" s="96"/>
      <c r="R19" s="96"/>
      <c r="S19" s="96"/>
      <c r="T19" s="96"/>
      <c r="U19" s="96"/>
      <c r="V19" s="96"/>
      <c r="W19" s="96"/>
      <c r="X19" s="96"/>
      <c r="Y19" s="96"/>
      <c r="Z19" s="96"/>
      <c r="AA19" s="96"/>
      <c r="AB19" s="96"/>
      <c r="AC19" s="96"/>
      <c r="AD19" s="96"/>
      <c r="AE19" s="96"/>
      <c r="AF19" s="96"/>
      <c r="AG19" s="96"/>
      <c r="AH19" s="96"/>
      <c r="AI19" s="96"/>
      <c r="AJ19" s="96"/>
      <c r="AK19" s="96"/>
      <c r="AL19" s="96"/>
      <c r="AM19" s="96"/>
      <c r="AN19" s="96"/>
      <c r="AO19" s="96"/>
    </row>
    <row r="20" spans="1:41" ht="18" customHeight="1">
      <c r="A20" s="3">
        <v>19</v>
      </c>
      <c r="B20" s="122"/>
      <c r="C20" s="3" t="s">
        <v>5</v>
      </c>
      <c r="D20" s="3" t="s">
        <v>73</v>
      </c>
      <c r="E20" s="3"/>
      <c r="G20" s="95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5"/>
      <c r="AC20" s="95"/>
      <c r="AD20" s="95"/>
      <c r="AE20" s="95"/>
      <c r="AF20" s="95"/>
      <c r="AG20" s="95">
        <v>1</v>
      </c>
      <c r="AH20" s="95"/>
      <c r="AI20" s="95"/>
      <c r="AJ20" s="95"/>
      <c r="AK20" s="95"/>
      <c r="AL20" s="95"/>
      <c r="AM20" s="95"/>
      <c r="AN20" s="95"/>
      <c r="AO20" s="95"/>
    </row>
    <row r="21" spans="1:41" ht="18.75" customHeight="1">
      <c r="A21" s="3">
        <v>20</v>
      </c>
      <c r="B21" s="122"/>
      <c r="C21" s="3" t="s">
        <v>79</v>
      </c>
      <c r="D21" s="3" t="s">
        <v>75</v>
      </c>
      <c r="E21" s="3"/>
      <c r="G21" s="96">
        <v>1</v>
      </c>
      <c r="H21" s="96"/>
      <c r="I21" s="96"/>
      <c r="J21" s="96"/>
      <c r="K21" s="96"/>
      <c r="L21" s="96"/>
      <c r="M21" s="96">
        <v>1</v>
      </c>
      <c r="N21" s="96"/>
      <c r="O21" s="96">
        <v>1</v>
      </c>
      <c r="P21" s="96">
        <v>1</v>
      </c>
      <c r="Q21" s="96">
        <v>1</v>
      </c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>
        <v>1</v>
      </c>
      <c r="AK21" s="96"/>
      <c r="AL21" s="96"/>
      <c r="AM21" s="96"/>
      <c r="AN21" s="96"/>
      <c r="AO21" s="96"/>
    </row>
    <row r="22" spans="1:41" ht="18">
      <c r="A22" s="3">
        <v>21</v>
      </c>
      <c r="B22" s="122"/>
      <c r="C22" s="3" t="s">
        <v>548</v>
      </c>
      <c r="D22" s="3" t="s">
        <v>77</v>
      </c>
      <c r="E22" s="3"/>
      <c r="G22" s="95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5"/>
      <c r="AC22" s="95"/>
      <c r="AD22" s="95"/>
      <c r="AE22" s="95"/>
      <c r="AF22" s="95"/>
      <c r="AG22" s="95"/>
      <c r="AH22" s="95"/>
      <c r="AI22" s="95"/>
      <c r="AJ22" s="95"/>
      <c r="AK22" s="95"/>
      <c r="AL22" s="95"/>
      <c r="AM22" s="95"/>
      <c r="AN22" s="95"/>
      <c r="AO22" s="95"/>
    </row>
    <row r="23" spans="1:41" ht="18">
      <c r="A23" s="3">
        <v>22</v>
      </c>
      <c r="B23" s="122"/>
      <c r="C23" s="3" t="s">
        <v>549</v>
      </c>
      <c r="D23" s="3" t="s">
        <v>78</v>
      </c>
      <c r="E23" s="3"/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>
        <v>1</v>
      </c>
      <c r="AH23" s="96"/>
      <c r="AI23" s="96"/>
      <c r="AJ23" s="96"/>
      <c r="AK23" s="96"/>
      <c r="AL23" s="96"/>
      <c r="AM23" s="96"/>
      <c r="AN23" s="96"/>
      <c r="AO23" s="96"/>
    </row>
    <row r="24" spans="1:41" ht="18">
      <c r="A24" s="3">
        <v>23</v>
      </c>
      <c r="B24" s="122"/>
      <c r="C24" s="3" t="s">
        <v>550</v>
      </c>
      <c r="D24" s="3" t="s">
        <v>80</v>
      </c>
      <c r="E24" s="3"/>
      <c r="G24" s="95">
        <v>1</v>
      </c>
      <c r="H24" s="95"/>
      <c r="I24" s="95"/>
      <c r="J24" s="95"/>
      <c r="K24" s="95"/>
      <c r="L24" s="95"/>
      <c r="M24" s="95">
        <v>1</v>
      </c>
      <c r="N24" s="95"/>
      <c r="O24" s="95"/>
      <c r="P24" s="95"/>
      <c r="Q24" s="95">
        <v>1</v>
      </c>
      <c r="R24" s="95"/>
      <c r="S24" s="95"/>
      <c r="T24" s="95"/>
      <c r="U24" s="95"/>
      <c r="V24" s="95"/>
      <c r="W24" s="95"/>
      <c r="X24" s="95"/>
      <c r="Y24" s="95"/>
      <c r="Z24" s="95"/>
      <c r="AA24" s="95"/>
      <c r="AB24" s="95"/>
      <c r="AC24" s="95"/>
      <c r="AD24" s="95"/>
      <c r="AE24" s="95"/>
      <c r="AF24" s="95"/>
      <c r="AG24" s="95"/>
      <c r="AH24" s="95"/>
      <c r="AI24" s="95"/>
      <c r="AJ24" s="95">
        <v>1</v>
      </c>
      <c r="AK24" s="95"/>
      <c r="AL24" s="95"/>
      <c r="AM24" s="95"/>
      <c r="AN24" s="95"/>
      <c r="AO24" s="95"/>
    </row>
    <row r="25" spans="1:41" ht="18" customHeight="1">
      <c r="A25" s="3">
        <v>24</v>
      </c>
      <c r="B25" s="122"/>
      <c r="C25" s="3" t="s">
        <v>81</v>
      </c>
      <c r="D25" s="3" t="s">
        <v>82</v>
      </c>
      <c r="E25" s="5"/>
      <c r="G25" s="96"/>
      <c r="H25" s="96"/>
      <c r="I25" s="96"/>
      <c r="J25" s="96"/>
      <c r="K25" s="96"/>
      <c r="L25" s="96"/>
      <c r="M25" s="96"/>
      <c r="N25" s="96"/>
      <c r="O25" s="96"/>
      <c r="P25" s="96"/>
      <c r="Q25" s="96"/>
      <c r="R25" s="96"/>
      <c r="S25" s="96"/>
      <c r="T25" s="96"/>
      <c r="U25" s="96"/>
      <c r="V25" s="96"/>
      <c r="W25" s="96"/>
      <c r="X25" s="96"/>
      <c r="Y25" s="96"/>
      <c r="Z25" s="96"/>
      <c r="AA25" s="96"/>
      <c r="AB25" s="96"/>
      <c r="AC25" s="96"/>
      <c r="AD25" s="96"/>
      <c r="AE25" s="96"/>
      <c r="AF25" s="96"/>
      <c r="AG25" s="96"/>
      <c r="AH25" s="96"/>
      <c r="AI25" s="96"/>
      <c r="AJ25" s="96"/>
      <c r="AK25" s="96"/>
      <c r="AL25" s="96"/>
      <c r="AM25" s="96"/>
      <c r="AN25" s="96"/>
      <c r="AO25" s="96"/>
    </row>
    <row r="26" spans="1:41" ht="18" customHeight="1">
      <c r="A26" s="3">
        <v>25</v>
      </c>
      <c r="B26" s="122"/>
      <c r="C26" s="3" t="s">
        <v>6</v>
      </c>
      <c r="D26" s="3" t="s">
        <v>83</v>
      </c>
      <c r="E26" s="3"/>
      <c r="G26" s="95">
        <v>1</v>
      </c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  <c r="AB26" s="95"/>
      <c r="AC26" s="95"/>
      <c r="AD26" s="95"/>
      <c r="AE26" s="95"/>
      <c r="AF26" s="95"/>
      <c r="AG26" s="95">
        <v>1</v>
      </c>
      <c r="AH26" s="95"/>
      <c r="AI26" s="95"/>
      <c r="AJ26" s="95">
        <v>1</v>
      </c>
      <c r="AK26" s="95"/>
      <c r="AL26" s="95"/>
      <c r="AM26" s="95"/>
      <c r="AN26" s="95"/>
      <c r="AO26" s="95"/>
    </row>
    <row r="27" spans="1:41" ht="18" customHeight="1">
      <c r="A27" s="2">
        <v>26</v>
      </c>
      <c r="B27" s="121" t="s">
        <v>32</v>
      </c>
      <c r="C27" s="2" t="s">
        <v>7</v>
      </c>
      <c r="D27" s="2" t="s">
        <v>84</v>
      </c>
      <c r="E27" s="2"/>
      <c r="G27" s="96"/>
      <c r="H27" s="96"/>
      <c r="I27" s="96"/>
      <c r="J27" s="96"/>
      <c r="K27" s="96"/>
      <c r="L27" s="96"/>
      <c r="M27" s="96"/>
      <c r="N27" s="96"/>
      <c r="O27" s="96"/>
      <c r="P27" s="96"/>
      <c r="Q27" s="96"/>
      <c r="R27" s="96"/>
      <c r="S27" s="96"/>
      <c r="T27" s="96"/>
      <c r="U27" s="96"/>
      <c r="V27" s="96"/>
      <c r="W27" s="96"/>
      <c r="X27" s="96"/>
      <c r="Y27" s="96"/>
      <c r="Z27" s="96"/>
      <c r="AA27" s="96"/>
      <c r="AB27" s="96"/>
      <c r="AC27" s="96"/>
      <c r="AD27" s="96"/>
      <c r="AE27" s="96"/>
      <c r="AF27" s="96"/>
      <c r="AG27" s="96"/>
      <c r="AH27" s="96"/>
      <c r="AI27" s="96"/>
      <c r="AJ27" s="96"/>
      <c r="AK27" s="96"/>
      <c r="AL27" s="96"/>
      <c r="AM27" s="96"/>
      <c r="AN27" s="96"/>
      <c r="AO27" s="96"/>
    </row>
    <row r="28" spans="1:41" ht="18" customHeight="1">
      <c r="A28" s="2">
        <v>27</v>
      </c>
      <c r="B28" s="121"/>
      <c r="C28" s="2" t="s">
        <v>85</v>
      </c>
      <c r="D28" s="2" t="s">
        <v>86</v>
      </c>
      <c r="E28" s="2"/>
      <c r="G28" s="95"/>
      <c r="H28" s="95">
        <v>1</v>
      </c>
      <c r="I28" s="95">
        <v>1</v>
      </c>
      <c r="J28" s="95"/>
      <c r="K28" s="95">
        <v>1</v>
      </c>
      <c r="L28" s="95"/>
      <c r="M28" s="95">
        <v>1</v>
      </c>
      <c r="N28" s="95">
        <v>1</v>
      </c>
      <c r="O28" s="95"/>
      <c r="P28" s="95">
        <v>1</v>
      </c>
      <c r="Q28" s="95"/>
      <c r="R28" s="95">
        <v>1</v>
      </c>
      <c r="S28" s="95">
        <v>1</v>
      </c>
      <c r="T28" s="95">
        <v>1</v>
      </c>
      <c r="U28" s="95">
        <v>1</v>
      </c>
      <c r="V28" s="95"/>
      <c r="W28" s="95"/>
      <c r="X28" s="95"/>
      <c r="Y28" s="95"/>
      <c r="Z28" s="95"/>
      <c r="AA28" s="95">
        <v>1</v>
      </c>
      <c r="AB28" s="95"/>
      <c r="AC28" s="95">
        <v>1</v>
      </c>
      <c r="AD28" s="95">
        <v>1</v>
      </c>
      <c r="AE28" s="95">
        <v>1</v>
      </c>
      <c r="AF28" s="95">
        <v>1</v>
      </c>
      <c r="AG28" s="95">
        <v>1</v>
      </c>
      <c r="AH28" s="95">
        <v>1</v>
      </c>
      <c r="AI28" s="95">
        <v>1</v>
      </c>
      <c r="AJ28" s="95"/>
      <c r="AK28" s="95"/>
      <c r="AL28" s="95">
        <v>1</v>
      </c>
      <c r="AM28" s="95">
        <v>1</v>
      </c>
      <c r="AN28" s="95"/>
      <c r="AO28" s="95"/>
    </row>
    <row r="29" spans="1:41" ht="18.75" customHeight="1">
      <c r="A29" s="2">
        <v>28</v>
      </c>
      <c r="B29" s="121"/>
      <c r="C29" s="2" t="s">
        <v>87</v>
      </c>
      <c r="D29" s="2" t="s">
        <v>88</v>
      </c>
      <c r="E29" s="2"/>
      <c r="G29" s="96"/>
      <c r="H29" s="96"/>
      <c r="I29" s="96"/>
      <c r="J29" s="96"/>
      <c r="K29" s="96"/>
      <c r="L29" s="96"/>
      <c r="M29" s="96"/>
      <c r="N29" s="96"/>
      <c r="O29" s="96"/>
      <c r="P29" s="96"/>
      <c r="Q29" s="96"/>
      <c r="R29" s="96"/>
      <c r="S29" s="96"/>
      <c r="T29" s="96"/>
      <c r="U29" s="96"/>
      <c r="V29" s="96"/>
      <c r="W29" s="96"/>
      <c r="X29" s="96"/>
      <c r="Y29" s="96"/>
      <c r="Z29" s="96"/>
      <c r="AA29" s="96"/>
      <c r="AB29" s="96"/>
      <c r="AC29" s="96"/>
      <c r="AD29" s="96"/>
      <c r="AE29" s="96"/>
      <c r="AF29" s="96"/>
      <c r="AG29" s="96"/>
      <c r="AH29" s="96"/>
      <c r="AI29" s="96"/>
      <c r="AJ29" s="96"/>
      <c r="AK29" s="96"/>
      <c r="AL29" s="96"/>
      <c r="AM29" s="96"/>
      <c r="AN29" s="96"/>
      <c r="AO29" s="96"/>
    </row>
    <row r="30" spans="1:41" ht="18">
      <c r="A30" s="2">
        <v>29</v>
      </c>
      <c r="B30" s="121"/>
      <c r="C30" s="2" t="s">
        <v>89</v>
      </c>
      <c r="D30" s="2" t="s">
        <v>90</v>
      </c>
      <c r="E30" s="2"/>
      <c r="G30" s="95">
        <v>1</v>
      </c>
      <c r="H30" s="95"/>
      <c r="I30" s="95"/>
      <c r="J30" s="95"/>
      <c r="K30" s="95"/>
      <c r="L30" s="95">
        <v>1</v>
      </c>
      <c r="M30" s="95"/>
      <c r="N30" s="95"/>
      <c r="O30" s="95">
        <v>1</v>
      </c>
      <c r="P30" s="95"/>
      <c r="Q30" s="95">
        <v>1</v>
      </c>
      <c r="R30" s="95"/>
      <c r="S30" s="95"/>
      <c r="T30" s="95"/>
      <c r="U30" s="95"/>
      <c r="V30" s="95">
        <v>1</v>
      </c>
      <c r="W30" s="95">
        <v>1</v>
      </c>
      <c r="X30" s="95">
        <v>1</v>
      </c>
      <c r="Y30" s="95">
        <v>1</v>
      </c>
      <c r="Z30" s="95">
        <v>1</v>
      </c>
      <c r="AA30" s="95"/>
      <c r="AB30" s="95">
        <v>1</v>
      </c>
      <c r="AC30" s="95"/>
      <c r="AD30" s="95"/>
      <c r="AE30" s="95"/>
      <c r="AF30" s="95"/>
      <c r="AG30" s="95"/>
      <c r="AH30" s="95"/>
      <c r="AI30" s="95"/>
      <c r="AJ30" s="95">
        <v>1</v>
      </c>
      <c r="AK30" s="95">
        <v>1</v>
      </c>
      <c r="AL30" s="95"/>
      <c r="AM30" s="95"/>
      <c r="AN30" s="95">
        <v>1</v>
      </c>
      <c r="AO30" s="95">
        <v>1</v>
      </c>
    </row>
    <row r="31" spans="1:41" ht="18">
      <c r="A31" s="2">
        <v>30</v>
      </c>
      <c r="B31" s="121"/>
      <c r="C31" s="2" t="s">
        <v>551</v>
      </c>
      <c r="D31" s="2" t="s">
        <v>91</v>
      </c>
      <c r="E31" s="2"/>
      <c r="G31" s="96">
        <v>1</v>
      </c>
      <c r="H31" s="96">
        <v>1</v>
      </c>
      <c r="I31" s="96">
        <v>1</v>
      </c>
      <c r="J31" s="96"/>
      <c r="K31" s="96">
        <v>1</v>
      </c>
      <c r="L31" s="96">
        <v>1</v>
      </c>
      <c r="M31" s="96">
        <v>1</v>
      </c>
      <c r="N31" s="96">
        <v>1</v>
      </c>
      <c r="O31" s="96">
        <v>1</v>
      </c>
      <c r="P31" s="96">
        <v>1</v>
      </c>
      <c r="Q31" s="96">
        <v>1</v>
      </c>
      <c r="R31" s="96">
        <v>1</v>
      </c>
      <c r="S31" s="96">
        <v>1</v>
      </c>
      <c r="T31" s="96">
        <v>1</v>
      </c>
      <c r="U31" s="96">
        <v>1</v>
      </c>
      <c r="V31" s="96">
        <v>1</v>
      </c>
      <c r="W31" s="96">
        <v>1</v>
      </c>
      <c r="X31" s="96">
        <v>1</v>
      </c>
      <c r="Y31" s="96">
        <v>1</v>
      </c>
      <c r="Z31" s="96">
        <v>1</v>
      </c>
      <c r="AA31" s="96">
        <v>1</v>
      </c>
      <c r="AB31" s="96">
        <v>1</v>
      </c>
      <c r="AC31" s="96">
        <v>1</v>
      </c>
      <c r="AD31" s="96">
        <v>1</v>
      </c>
      <c r="AE31" s="96">
        <v>1</v>
      </c>
      <c r="AF31" s="96">
        <v>1</v>
      </c>
      <c r="AG31" s="96">
        <v>1</v>
      </c>
      <c r="AH31" s="96">
        <v>1</v>
      </c>
      <c r="AI31" s="96">
        <v>1</v>
      </c>
      <c r="AJ31" s="96">
        <v>1</v>
      </c>
      <c r="AK31" s="96">
        <v>1</v>
      </c>
      <c r="AL31" s="96">
        <v>1</v>
      </c>
      <c r="AM31" s="96">
        <v>1</v>
      </c>
      <c r="AN31" s="96">
        <v>1</v>
      </c>
      <c r="AO31" s="96">
        <v>1</v>
      </c>
    </row>
    <row r="32" spans="1:41" ht="18">
      <c r="A32" s="2">
        <v>31</v>
      </c>
      <c r="B32" s="121"/>
      <c r="C32" s="2" t="s">
        <v>552</v>
      </c>
      <c r="D32" s="2" t="s">
        <v>92</v>
      </c>
      <c r="E32" s="2"/>
      <c r="G32" s="95"/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  <c r="AC32" s="95"/>
      <c r="AD32" s="95"/>
      <c r="AE32" s="95"/>
      <c r="AF32" s="95"/>
      <c r="AG32" s="95"/>
      <c r="AH32" s="95"/>
      <c r="AI32" s="95"/>
      <c r="AJ32" s="95"/>
      <c r="AK32" s="95"/>
      <c r="AL32" s="95"/>
      <c r="AM32" s="95"/>
      <c r="AN32" s="95"/>
      <c r="AO32" s="95"/>
    </row>
    <row r="33" spans="1:41" ht="18">
      <c r="A33" s="2">
        <v>32</v>
      </c>
      <c r="B33" s="121"/>
      <c r="C33" s="2" t="s">
        <v>553</v>
      </c>
      <c r="D33" s="2" t="s">
        <v>94</v>
      </c>
      <c r="E33" s="2"/>
      <c r="G33" s="96">
        <v>1</v>
      </c>
      <c r="H33" s="96">
        <v>1</v>
      </c>
      <c r="I33" s="96">
        <v>1</v>
      </c>
      <c r="J33" s="96"/>
      <c r="K33" s="96">
        <v>1</v>
      </c>
      <c r="L33" s="96">
        <v>1</v>
      </c>
      <c r="M33" s="96">
        <v>1</v>
      </c>
      <c r="N33" s="96">
        <v>1</v>
      </c>
      <c r="O33" s="96">
        <v>1</v>
      </c>
      <c r="P33" s="96">
        <v>1</v>
      </c>
      <c r="Q33" s="96">
        <v>1</v>
      </c>
      <c r="R33" s="96">
        <v>1</v>
      </c>
      <c r="S33" s="96">
        <v>1</v>
      </c>
      <c r="T33" s="96">
        <v>1</v>
      </c>
      <c r="U33" s="96">
        <v>1</v>
      </c>
      <c r="V33" s="96">
        <v>1</v>
      </c>
      <c r="W33" s="96">
        <v>1</v>
      </c>
      <c r="X33" s="96">
        <v>1</v>
      </c>
      <c r="Y33" s="96">
        <v>1</v>
      </c>
      <c r="Z33" s="96">
        <v>1</v>
      </c>
      <c r="AA33" s="96">
        <v>1</v>
      </c>
      <c r="AB33" s="96">
        <v>1</v>
      </c>
      <c r="AC33" s="96">
        <v>1</v>
      </c>
      <c r="AD33" s="96">
        <v>1</v>
      </c>
      <c r="AE33" s="96">
        <v>1</v>
      </c>
      <c r="AF33" s="96">
        <v>1</v>
      </c>
      <c r="AG33" s="96">
        <v>1</v>
      </c>
      <c r="AH33" s="96">
        <v>1</v>
      </c>
      <c r="AI33" s="96">
        <v>1</v>
      </c>
      <c r="AJ33" s="96">
        <v>1</v>
      </c>
      <c r="AK33" s="96">
        <v>1</v>
      </c>
      <c r="AL33" s="96">
        <v>1</v>
      </c>
      <c r="AM33" s="96">
        <v>1</v>
      </c>
      <c r="AN33" s="96">
        <v>1</v>
      </c>
      <c r="AO33" s="96">
        <v>1</v>
      </c>
    </row>
    <row r="34" spans="1:41" ht="18">
      <c r="A34" s="3">
        <v>33</v>
      </c>
      <c r="B34" s="122" t="s">
        <v>40</v>
      </c>
      <c r="C34" s="3" t="s">
        <v>95</v>
      </c>
      <c r="D34" s="3" t="s">
        <v>96</v>
      </c>
      <c r="E34" s="3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  <c r="AB34" s="95"/>
      <c r="AC34" s="95"/>
      <c r="AD34" s="95"/>
      <c r="AE34" s="95"/>
      <c r="AF34" s="95"/>
      <c r="AG34" s="95"/>
      <c r="AH34" s="95"/>
      <c r="AI34" s="95"/>
      <c r="AJ34" s="95"/>
      <c r="AK34" s="95"/>
      <c r="AL34" s="95"/>
      <c r="AM34" s="95"/>
      <c r="AN34" s="95"/>
      <c r="AO34" s="95"/>
    </row>
    <row r="35" spans="1:41" ht="18">
      <c r="A35" s="3">
        <v>34</v>
      </c>
      <c r="B35" s="122"/>
      <c r="C35" s="3" t="s">
        <v>41</v>
      </c>
      <c r="D35" s="7" t="s">
        <v>99</v>
      </c>
      <c r="E35" s="8"/>
      <c r="G35" s="96"/>
      <c r="H35" s="96"/>
      <c r="I35" s="96"/>
      <c r="J35" s="96"/>
      <c r="K35" s="96"/>
      <c r="L35" s="96"/>
      <c r="M35" s="96"/>
      <c r="N35" s="96"/>
      <c r="O35" s="96"/>
      <c r="P35" s="96"/>
      <c r="Q35" s="96"/>
      <c r="R35" s="96"/>
      <c r="S35" s="96"/>
      <c r="T35" s="96"/>
      <c r="U35" s="96"/>
      <c r="V35" s="96"/>
      <c r="W35" s="96"/>
      <c r="X35" s="96"/>
      <c r="Y35" s="96"/>
      <c r="Z35" s="96"/>
      <c r="AA35" s="96"/>
      <c r="AB35" s="96"/>
      <c r="AC35" s="96"/>
      <c r="AD35" s="96"/>
      <c r="AE35" s="96"/>
      <c r="AF35" s="96"/>
      <c r="AG35" s="96"/>
      <c r="AH35" s="96"/>
      <c r="AI35" s="96"/>
      <c r="AJ35" s="96"/>
      <c r="AK35" s="96"/>
      <c r="AL35" s="96"/>
      <c r="AM35" s="96"/>
      <c r="AN35" s="96"/>
      <c r="AO35" s="96"/>
    </row>
    <row r="36" spans="1:41" ht="18">
      <c r="A36" s="3">
        <v>35</v>
      </c>
      <c r="B36" s="122"/>
      <c r="C36" s="3" t="s">
        <v>98</v>
      </c>
      <c r="D36" s="7" t="s">
        <v>97</v>
      </c>
      <c r="E36" s="8"/>
      <c r="G36" s="95"/>
      <c r="H36" s="95">
        <v>1</v>
      </c>
      <c r="I36" s="95"/>
      <c r="J36" s="95"/>
      <c r="K36" s="95"/>
      <c r="L36" s="95">
        <v>1</v>
      </c>
      <c r="M36" s="95">
        <v>1</v>
      </c>
      <c r="N36" s="95">
        <v>1</v>
      </c>
      <c r="O36" s="95">
        <v>1</v>
      </c>
      <c r="P36" s="95">
        <v>1</v>
      </c>
      <c r="Q36" s="95">
        <v>1</v>
      </c>
      <c r="R36" s="95">
        <v>1</v>
      </c>
      <c r="S36" s="95">
        <v>1</v>
      </c>
      <c r="T36" s="95">
        <v>1</v>
      </c>
      <c r="U36" s="95"/>
      <c r="V36" s="95"/>
      <c r="W36" s="95">
        <v>1</v>
      </c>
      <c r="X36" s="95"/>
      <c r="Y36" s="95">
        <v>1</v>
      </c>
      <c r="Z36" s="95">
        <v>1</v>
      </c>
      <c r="AA36" s="95"/>
      <c r="AB36" s="95">
        <v>1</v>
      </c>
      <c r="AC36" s="95">
        <v>2</v>
      </c>
      <c r="AD36" s="95">
        <v>1</v>
      </c>
      <c r="AE36" s="95">
        <v>1</v>
      </c>
      <c r="AF36" s="95">
        <v>1</v>
      </c>
      <c r="AG36" s="95">
        <v>1</v>
      </c>
      <c r="AH36" s="95">
        <v>1</v>
      </c>
      <c r="AI36" s="95">
        <v>1</v>
      </c>
      <c r="AJ36" s="95">
        <v>1</v>
      </c>
      <c r="AK36" s="95">
        <v>1</v>
      </c>
      <c r="AL36" s="95">
        <v>1</v>
      </c>
      <c r="AM36" s="95">
        <v>1</v>
      </c>
      <c r="AN36" s="95">
        <v>1</v>
      </c>
      <c r="AO36" s="95"/>
    </row>
    <row r="37" spans="1:41" ht="18">
      <c r="A37" s="3">
        <v>36</v>
      </c>
      <c r="B37" s="122"/>
      <c r="C37" s="3" t="s">
        <v>95</v>
      </c>
      <c r="D37" s="3" t="s">
        <v>100</v>
      </c>
      <c r="E37" s="3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</row>
    <row r="38" spans="1:41" ht="18">
      <c r="A38" s="3">
        <v>37</v>
      </c>
      <c r="B38" s="122"/>
      <c r="C38" s="3" t="s">
        <v>41</v>
      </c>
      <c r="D38" s="3" t="s">
        <v>102</v>
      </c>
      <c r="E38" s="3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</row>
    <row r="39" spans="1:41" ht="18">
      <c r="A39" s="3">
        <v>38</v>
      </c>
      <c r="B39" s="122"/>
      <c r="C39" s="3" t="s">
        <v>98</v>
      </c>
      <c r="D39" s="3" t="s">
        <v>101</v>
      </c>
      <c r="E39" s="3"/>
      <c r="G39" s="96">
        <v>1</v>
      </c>
      <c r="H39" s="96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96"/>
      <c r="W39" s="96"/>
      <c r="X39" s="96">
        <v>1</v>
      </c>
      <c r="Y39" s="96"/>
      <c r="Z39" s="96"/>
      <c r="AA39" s="96"/>
      <c r="AB39" s="96"/>
      <c r="AC39" s="96"/>
      <c r="AD39" s="96"/>
      <c r="AE39" s="96"/>
      <c r="AF39" s="96"/>
      <c r="AG39" s="96"/>
      <c r="AH39" s="96"/>
      <c r="AI39" s="96"/>
      <c r="AJ39" s="96"/>
      <c r="AK39" s="96"/>
      <c r="AL39" s="96"/>
      <c r="AM39" s="96"/>
      <c r="AN39" s="96"/>
      <c r="AO39" s="96"/>
    </row>
    <row r="40" spans="1:41" ht="18">
      <c r="A40" s="2">
        <v>39</v>
      </c>
      <c r="B40" s="121" t="s">
        <v>31</v>
      </c>
      <c r="C40" s="2" t="s">
        <v>554</v>
      </c>
      <c r="D40" s="2" t="s">
        <v>104</v>
      </c>
      <c r="E40" s="2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  <c r="AC40" s="95"/>
      <c r="AD40" s="95"/>
      <c r="AE40" s="95"/>
      <c r="AF40" s="95"/>
      <c r="AG40" s="95"/>
      <c r="AH40" s="95"/>
      <c r="AI40" s="95"/>
      <c r="AJ40" s="95"/>
      <c r="AK40" s="95"/>
      <c r="AL40" s="95"/>
      <c r="AM40" s="95"/>
      <c r="AN40" s="95"/>
      <c r="AO40" s="95"/>
    </row>
    <row r="41" spans="1:41" ht="18">
      <c r="A41" s="2">
        <v>40</v>
      </c>
      <c r="B41" s="121"/>
      <c r="C41" s="2" t="s">
        <v>186</v>
      </c>
      <c r="D41" s="2" t="s">
        <v>105</v>
      </c>
      <c r="E41" s="2"/>
      <c r="G41" s="96">
        <v>1</v>
      </c>
      <c r="H41" s="96"/>
      <c r="I41" s="96"/>
      <c r="J41" s="96"/>
      <c r="K41" s="96"/>
      <c r="L41" s="96"/>
      <c r="M41" s="96"/>
      <c r="N41" s="96"/>
      <c r="O41" s="96">
        <v>1</v>
      </c>
      <c r="P41" s="96"/>
      <c r="Q41" s="96">
        <v>1</v>
      </c>
      <c r="R41" s="96"/>
      <c r="S41" s="96">
        <v>1</v>
      </c>
      <c r="T41" s="96"/>
      <c r="U41" s="96"/>
      <c r="V41" s="96"/>
      <c r="W41" s="96"/>
      <c r="X41" s="96"/>
      <c r="Y41" s="96"/>
      <c r="Z41" s="96"/>
      <c r="AA41" s="96"/>
      <c r="AB41" s="96">
        <v>1</v>
      </c>
      <c r="AC41" s="96"/>
      <c r="AD41" s="96"/>
      <c r="AE41" s="96"/>
      <c r="AF41" s="96"/>
      <c r="AG41" s="96">
        <v>1</v>
      </c>
      <c r="AH41" s="96"/>
      <c r="AI41" s="96"/>
      <c r="AJ41" s="96">
        <v>1</v>
      </c>
      <c r="AK41" s="96"/>
      <c r="AL41" s="96"/>
      <c r="AM41" s="96"/>
      <c r="AN41" s="96">
        <v>1</v>
      </c>
      <c r="AO41" s="96"/>
    </row>
    <row r="42" spans="1:41" ht="18">
      <c r="A42" s="3">
        <v>41</v>
      </c>
      <c r="B42" s="122" t="s">
        <v>106</v>
      </c>
      <c r="C42" s="3" t="s">
        <v>8</v>
      </c>
      <c r="D42" s="3" t="s">
        <v>107</v>
      </c>
      <c r="E42" s="3"/>
      <c r="G42" s="95"/>
      <c r="H42" s="95">
        <v>1</v>
      </c>
      <c r="I42" s="95">
        <v>1</v>
      </c>
      <c r="J42" s="95"/>
      <c r="K42" s="95">
        <v>1</v>
      </c>
      <c r="L42" s="95">
        <v>1</v>
      </c>
      <c r="M42" s="95">
        <v>1</v>
      </c>
      <c r="N42" s="95">
        <v>1</v>
      </c>
      <c r="O42" s="95">
        <v>1</v>
      </c>
      <c r="P42" s="95">
        <v>1</v>
      </c>
      <c r="Q42" s="95">
        <v>1</v>
      </c>
      <c r="R42" s="95">
        <v>1</v>
      </c>
      <c r="S42" s="95">
        <v>1</v>
      </c>
      <c r="T42" s="95">
        <v>1</v>
      </c>
      <c r="U42" s="95">
        <v>1</v>
      </c>
      <c r="V42" s="95">
        <v>1</v>
      </c>
      <c r="W42" s="95">
        <v>1</v>
      </c>
      <c r="X42" s="95">
        <v>1</v>
      </c>
      <c r="Y42" s="95">
        <v>1</v>
      </c>
      <c r="Z42" s="95">
        <v>1</v>
      </c>
      <c r="AA42" s="95"/>
      <c r="AB42" s="95">
        <v>1</v>
      </c>
      <c r="AC42" s="95">
        <v>1</v>
      </c>
      <c r="AD42" s="95">
        <v>1</v>
      </c>
      <c r="AE42" s="95">
        <v>1</v>
      </c>
      <c r="AF42" s="95">
        <v>1</v>
      </c>
      <c r="AG42" s="95">
        <v>1</v>
      </c>
      <c r="AH42" s="95">
        <v>1</v>
      </c>
      <c r="AI42" s="95">
        <v>1</v>
      </c>
      <c r="AJ42" s="95">
        <v>2</v>
      </c>
      <c r="AK42" s="95"/>
      <c r="AL42" s="95">
        <v>1</v>
      </c>
      <c r="AM42" s="95">
        <v>1</v>
      </c>
      <c r="AN42" s="95">
        <v>1</v>
      </c>
      <c r="AO42" s="95"/>
    </row>
    <row r="43" spans="1:41" ht="18">
      <c r="A43" s="3">
        <v>42</v>
      </c>
      <c r="B43" s="122"/>
      <c r="C43" s="3" t="s">
        <v>9</v>
      </c>
      <c r="D43" s="3" t="s">
        <v>108</v>
      </c>
      <c r="E43" s="3"/>
      <c r="G43" s="96"/>
      <c r="H43" s="96">
        <v>2</v>
      </c>
      <c r="I43" s="96">
        <v>2</v>
      </c>
      <c r="J43" s="96"/>
      <c r="K43" s="96">
        <v>2</v>
      </c>
      <c r="L43" s="96">
        <v>2</v>
      </c>
      <c r="M43" s="96">
        <v>2</v>
      </c>
      <c r="N43" s="96">
        <v>3</v>
      </c>
      <c r="O43" s="96">
        <v>3</v>
      </c>
      <c r="P43" s="96">
        <v>3</v>
      </c>
      <c r="Q43" s="96">
        <v>3</v>
      </c>
      <c r="R43" s="96">
        <v>3</v>
      </c>
      <c r="S43" s="96">
        <v>5</v>
      </c>
      <c r="T43" s="96">
        <v>2</v>
      </c>
      <c r="U43" s="96">
        <v>1</v>
      </c>
      <c r="V43" s="96">
        <v>2</v>
      </c>
      <c r="W43" s="96">
        <v>2</v>
      </c>
      <c r="X43" s="96">
        <v>2</v>
      </c>
      <c r="Y43" s="96">
        <v>1</v>
      </c>
      <c r="Z43" s="96">
        <v>2</v>
      </c>
      <c r="AA43" s="96">
        <v>1</v>
      </c>
      <c r="AB43" s="96">
        <v>2</v>
      </c>
      <c r="AC43" s="96">
        <v>5</v>
      </c>
      <c r="AD43" s="96">
        <v>4</v>
      </c>
      <c r="AE43" s="96">
        <v>3</v>
      </c>
      <c r="AF43" s="96">
        <v>4</v>
      </c>
      <c r="AG43" s="96">
        <v>4</v>
      </c>
      <c r="AH43" s="96">
        <v>4</v>
      </c>
      <c r="AI43" s="96">
        <v>2</v>
      </c>
      <c r="AJ43" s="96">
        <v>6</v>
      </c>
      <c r="AK43" s="96">
        <v>4</v>
      </c>
      <c r="AL43" s="96">
        <v>4</v>
      </c>
      <c r="AM43" s="96">
        <v>6</v>
      </c>
      <c r="AN43" s="96">
        <v>5</v>
      </c>
      <c r="AO43" s="96">
        <v>3</v>
      </c>
    </row>
    <row r="44" spans="1:41" ht="18">
      <c r="A44" s="3">
        <v>43</v>
      </c>
      <c r="B44" s="122"/>
      <c r="C44" s="3" t="s">
        <v>109</v>
      </c>
      <c r="D44" s="3" t="s">
        <v>110</v>
      </c>
      <c r="E44" s="3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95"/>
      <c r="AM44" s="95"/>
      <c r="AN44" s="95"/>
      <c r="AO44" s="95"/>
    </row>
    <row r="45" spans="1:41" ht="18">
      <c r="A45" s="3">
        <v>44</v>
      </c>
      <c r="B45" s="122"/>
      <c r="C45" s="3" t="s">
        <v>10</v>
      </c>
      <c r="D45" s="3" t="s">
        <v>111</v>
      </c>
      <c r="E45" s="3"/>
      <c r="G45" s="96"/>
      <c r="H45" s="96"/>
      <c r="I45" s="96"/>
      <c r="J45" s="96"/>
      <c r="K45" s="96"/>
      <c r="L45" s="96"/>
      <c r="M45" s="96"/>
      <c r="N45" s="96"/>
      <c r="O45" s="96"/>
      <c r="P45" s="96"/>
      <c r="Q45" s="96"/>
      <c r="R45" s="96"/>
      <c r="S45" s="96"/>
      <c r="T45" s="96"/>
      <c r="U45" s="96"/>
      <c r="V45" s="96"/>
      <c r="W45" s="96"/>
      <c r="X45" s="96"/>
      <c r="Y45" s="96"/>
      <c r="Z45" s="96"/>
      <c r="AA45" s="96"/>
      <c r="AB45" s="96"/>
      <c r="AC45" s="96">
        <v>1</v>
      </c>
      <c r="AD45" s="96">
        <v>1</v>
      </c>
      <c r="AE45" s="96">
        <v>1</v>
      </c>
      <c r="AF45" s="96">
        <v>1</v>
      </c>
      <c r="AG45" s="96">
        <v>1</v>
      </c>
      <c r="AH45" s="96">
        <v>1</v>
      </c>
      <c r="AI45" s="96"/>
      <c r="AJ45" s="96">
        <v>2</v>
      </c>
      <c r="AK45" s="96">
        <v>1</v>
      </c>
      <c r="AL45" s="96">
        <v>1</v>
      </c>
      <c r="AM45" s="96">
        <v>1</v>
      </c>
      <c r="AN45" s="96">
        <v>1</v>
      </c>
      <c r="AO45" s="96"/>
    </row>
    <row r="46" spans="1:41" ht="18">
      <c r="A46" s="3">
        <v>45</v>
      </c>
      <c r="B46" s="122"/>
      <c r="C46" s="3" t="s">
        <v>11</v>
      </c>
      <c r="D46" s="3" t="s">
        <v>112</v>
      </c>
      <c r="E46" s="3"/>
      <c r="G46" s="95"/>
      <c r="H46" s="95">
        <v>2</v>
      </c>
      <c r="I46" s="95">
        <v>2</v>
      </c>
      <c r="J46" s="95"/>
      <c r="K46" s="95">
        <v>2</v>
      </c>
      <c r="L46" s="95">
        <v>3</v>
      </c>
      <c r="M46" s="95">
        <v>2</v>
      </c>
      <c r="N46" s="95">
        <v>2</v>
      </c>
      <c r="O46" s="95">
        <v>3</v>
      </c>
      <c r="P46" s="95">
        <v>4</v>
      </c>
      <c r="Q46" s="95">
        <v>3</v>
      </c>
      <c r="R46" s="95">
        <v>3</v>
      </c>
      <c r="S46" s="95">
        <v>3</v>
      </c>
      <c r="T46" s="95">
        <v>3</v>
      </c>
      <c r="U46" s="95">
        <v>1</v>
      </c>
      <c r="V46" s="95">
        <v>3</v>
      </c>
      <c r="W46" s="95">
        <v>1</v>
      </c>
      <c r="X46" s="95">
        <v>4</v>
      </c>
      <c r="Y46" s="95">
        <v>1</v>
      </c>
      <c r="Z46" s="95">
        <v>2</v>
      </c>
      <c r="AA46" s="95">
        <v>1</v>
      </c>
      <c r="AB46" s="95">
        <v>2</v>
      </c>
      <c r="AC46" s="95">
        <v>3</v>
      </c>
      <c r="AD46" s="95">
        <v>2</v>
      </c>
      <c r="AE46" s="95">
        <v>2</v>
      </c>
      <c r="AF46" s="95">
        <v>3</v>
      </c>
      <c r="AG46" s="95">
        <v>2</v>
      </c>
      <c r="AH46" s="95">
        <v>2</v>
      </c>
      <c r="AI46" s="95">
        <v>1</v>
      </c>
      <c r="AJ46" s="95">
        <v>5</v>
      </c>
      <c r="AK46" s="95">
        <v>5</v>
      </c>
      <c r="AL46" s="95">
        <v>2</v>
      </c>
      <c r="AM46" s="95">
        <v>3</v>
      </c>
      <c r="AN46" s="95">
        <v>2</v>
      </c>
      <c r="AO46" s="95"/>
    </row>
    <row r="47" spans="1:41" ht="18">
      <c r="A47" s="3">
        <v>46</v>
      </c>
      <c r="B47" s="122"/>
      <c r="C47" s="3" t="s">
        <v>113</v>
      </c>
      <c r="D47" s="3" t="s">
        <v>114</v>
      </c>
      <c r="E47" s="3"/>
      <c r="G47" s="96"/>
      <c r="H47" s="96"/>
      <c r="I47" s="96"/>
      <c r="J47" s="96"/>
      <c r="K47" s="96"/>
      <c r="L47" s="96"/>
      <c r="M47" s="96"/>
      <c r="N47" s="96"/>
      <c r="O47" s="96"/>
      <c r="P47" s="96"/>
      <c r="Q47" s="96"/>
      <c r="R47" s="96"/>
      <c r="S47" s="96"/>
      <c r="T47" s="96"/>
      <c r="U47" s="96"/>
      <c r="V47" s="96"/>
      <c r="W47" s="96"/>
      <c r="X47" s="96"/>
      <c r="Y47" s="96"/>
      <c r="Z47" s="96"/>
      <c r="AA47" s="96"/>
      <c r="AB47" s="96"/>
      <c r="AC47" s="96"/>
      <c r="AD47" s="96"/>
      <c r="AE47" s="96"/>
      <c r="AF47" s="96"/>
      <c r="AG47" s="96"/>
      <c r="AH47" s="96"/>
      <c r="AI47" s="96"/>
      <c r="AJ47" s="96"/>
      <c r="AK47" s="96"/>
      <c r="AL47" s="96"/>
      <c r="AM47" s="96"/>
      <c r="AN47" s="96"/>
      <c r="AO47" s="99">
        <v>1</v>
      </c>
    </row>
    <row r="48" spans="1:41" ht="18">
      <c r="A48" s="3">
        <v>47</v>
      </c>
      <c r="B48" s="122"/>
      <c r="C48" s="3" t="s">
        <v>115</v>
      </c>
      <c r="D48" s="3" t="s">
        <v>116</v>
      </c>
      <c r="E48" s="3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  <c r="AB48" s="95"/>
      <c r="AC48" s="95"/>
      <c r="AD48" s="95"/>
      <c r="AE48" s="95"/>
      <c r="AF48" s="95"/>
      <c r="AG48" s="95"/>
      <c r="AH48" s="95"/>
      <c r="AI48" s="95"/>
      <c r="AJ48" s="95"/>
      <c r="AK48" s="95"/>
      <c r="AL48" s="95"/>
      <c r="AM48" s="95"/>
      <c r="AN48" s="95"/>
      <c r="AO48" s="95"/>
    </row>
    <row r="49" spans="1:41" ht="18">
      <c r="A49" s="3">
        <v>48</v>
      </c>
      <c r="B49" s="122"/>
      <c r="C49" s="3" t="s">
        <v>117</v>
      </c>
      <c r="D49" s="3" t="s">
        <v>118</v>
      </c>
      <c r="E49" s="3"/>
      <c r="G49" s="96"/>
      <c r="H49" s="96"/>
      <c r="I49" s="96"/>
      <c r="J49" s="96"/>
      <c r="K49" s="96"/>
      <c r="L49" s="96"/>
      <c r="M49" s="96"/>
      <c r="N49" s="96"/>
      <c r="O49" s="96"/>
      <c r="P49" s="96"/>
      <c r="Q49" s="96"/>
      <c r="R49" s="96"/>
      <c r="S49" s="96"/>
      <c r="T49" s="96"/>
      <c r="U49" s="96"/>
      <c r="V49" s="96"/>
      <c r="W49" s="96"/>
      <c r="X49" s="96"/>
      <c r="Y49" s="96"/>
      <c r="Z49" s="96"/>
      <c r="AA49" s="96"/>
      <c r="AB49" s="96"/>
      <c r="AC49" s="96"/>
      <c r="AD49" s="96"/>
      <c r="AE49" s="96"/>
      <c r="AF49" s="96"/>
      <c r="AG49" s="96"/>
      <c r="AH49" s="96"/>
      <c r="AI49" s="96"/>
      <c r="AJ49" s="96"/>
      <c r="AK49" s="96"/>
      <c r="AL49" s="96"/>
      <c r="AM49" s="96"/>
      <c r="AN49" s="96"/>
      <c r="AO49" s="96"/>
    </row>
    <row r="50" spans="1:41" ht="18">
      <c r="A50" s="3">
        <v>49</v>
      </c>
      <c r="B50" s="122"/>
      <c r="C50" s="3" t="s">
        <v>119</v>
      </c>
      <c r="D50" s="3" t="s">
        <v>120</v>
      </c>
      <c r="E50" s="3"/>
      <c r="G50" s="95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  <c r="AB50" s="95"/>
      <c r="AC50" s="95"/>
      <c r="AD50" s="95"/>
      <c r="AE50" s="95"/>
      <c r="AF50" s="95"/>
      <c r="AG50" s="95"/>
      <c r="AH50" s="95"/>
      <c r="AI50" s="95"/>
      <c r="AJ50" s="95"/>
      <c r="AK50" s="95"/>
      <c r="AL50" s="95"/>
      <c r="AM50" s="95"/>
      <c r="AN50" s="95"/>
      <c r="AO50" s="95"/>
    </row>
    <row r="51" spans="1:41" ht="18">
      <c r="A51" s="3">
        <v>50</v>
      </c>
      <c r="B51" s="122"/>
      <c r="C51" s="3" t="s">
        <v>121</v>
      </c>
      <c r="D51" s="3" t="s">
        <v>122</v>
      </c>
      <c r="E51" s="3"/>
      <c r="G51" s="96"/>
      <c r="H51" s="96"/>
      <c r="I51" s="96"/>
      <c r="J51" s="96"/>
      <c r="K51" s="96"/>
      <c r="L51" s="96"/>
      <c r="M51" s="96"/>
      <c r="N51" s="96"/>
      <c r="O51" s="96"/>
      <c r="P51" s="96"/>
      <c r="Q51" s="96"/>
      <c r="R51" s="96"/>
      <c r="S51" s="96"/>
      <c r="T51" s="96"/>
      <c r="U51" s="96"/>
      <c r="V51" s="96"/>
      <c r="W51" s="96"/>
      <c r="X51" s="96"/>
      <c r="Y51" s="96"/>
      <c r="Z51" s="96"/>
      <c r="AA51" s="96"/>
      <c r="AB51" s="96"/>
      <c r="AC51" s="96"/>
      <c r="AD51" s="96"/>
      <c r="AE51" s="96"/>
      <c r="AF51" s="96"/>
      <c r="AG51" s="96"/>
      <c r="AH51" s="96"/>
      <c r="AI51" s="96"/>
      <c r="AJ51" s="96"/>
      <c r="AK51" s="96"/>
      <c r="AL51" s="96"/>
      <c r="AM51" s="96"/>
      <c r="AN51" s="96"/>
      <c r="AO51" s="99">
        <v>2</v>
      </c>
    </row>
    <row r="52" spans="1:41" ht="18">
      <c r="A52" s="2">
        <v>51</v>
      </c>
      <c r="B52" s="121" t="s">
        <v>123</v>
      </c>
      <c r="C52" s="2" t="s">
        <v>12</v>
      </c>
      <c r="D52" s="2" t="s">
        <v>43</v>
      </c>
      <c r="E52" s="2"/>
      <c r="G52" s="97"/>
      <c r="H52" s="95">
        <v>1</v>
      </c>
      <c r="I52" s="95">
        <v>1</v>
      </c>
      <c r="J52" s="95"/>
      <c r="K52" s="95">
        <v>1</v>
      </c>
      <c r="L52" s="95">
        <v>1</v>
      </c>
      <c r="M52" s="95">
        <v>1</v>
      </c>
      <c r="N52" s="95">
        <v>1</v>
      </c>
      <c r="O52" s="95">
        <v>1</v>
      </c>
      <c r="P52" s="95">
        <v>1</v>
      </c>
      <c r="Q52" s="95">
        <v>1</v>
      </c>
      <c r="R52" s="95">
        <v>1</v>
      </c>
      <c r="S52" s="95">
        <v>1</v>
      </c>
      <c r="T52" s="95">
        <v>1</v>
      </c>
      <c r="U52" s="95"/>
      <c r="V52" s="95">
        <v>1</v>
      </c>
      <c r="W52" s="95">
        <v>1</v>
      </c>
      <c r="X52" s="95">
        <v>1</v>
      </c>
      <c r="Y52" s="95">
        <v>1</v>
      </c>
      <c r="Z52" s="95">
        <v>1</v>
      </c>
      <c r="AA52" s="95"/>
      <c r="AB52" s="95">
        <v>1</v>
      </c>
      <c r="AC52" s="95">
        <v>2</v>
      </c>
      <c r="AD52" s="95">
        <v>1</v>
      </c>
      <c r="AE52" s="95">
        <v>2</v>
      </c>
      <c r="AF52" s="95">
        <v>1</v>
      </c>
      <c r="AG52" s="95">
        <v>1</v>
      </c>
      <c r="AH52" s="95">
        <v>1</v>
      </c>
      <c r="AI52" s="95"/>
      <c r="AJ52" s="95">
        <v>2</v>
      </c>
      <c r="AK52" s="95">
        <v>3</v>
      </c>
      <c r="AL52" s="95">
        <v>1</v>
      </c>
      <c r="AM52" s="95">
        <v>1</v>
      </c>
      <c r="AN52" s="95"/>
      <c r="AO52" s="95">
        <v>2</v>
      </c>
    </row>
    <row r="53" spans="1:41" ht="18">
      <c r="A53" s="2">
        <v>52</v>
      </c>
      <c r="B53" s="121"/>
      <c r="C53" s="2" t="s">
        <v>124</v>
      </c>
      <c r="D53" s="2" t="s">
        <v>125</v>
      </c>
      <c r="E53" s="2"/>
      <c r="G53" s="97"/>
      <c r="H53" s="96"/>
      <c r="I53" s="96"/>
      <c r="J53" s="96"/>
      <c r="K53" s="96"/>
      <c r="L53" s="96"/>
      <c r="M53" s="96"/>
      <c r="N53" s="96"/>
      <c r="O53" s="96"/>
      <c r="P53" s="96"/>
      <c r="Q53" s="96"/>
      <c r="R53" s="96"/>
      <c r="S53" s="96"/>
      <c r="T53" s="96"/>
      <c r="U53" s="96"/>
      <c r="V53" s="96"/>
      <c r="W53" s="96"/>
      <c r="X53" s="96"/>
      <c r="Y53" s="96"/>
      <c r="Z53" s="96"/>
      <c r="AA53" s="96"/>
      <c r="AB53" s="96"/>
      <c r="AC53" s="96"/>
      <c r="AD53" s="96"/>
      <c r="AE53" s="96"/>
      <c r="AF53" s="96"/>
      <c r="AG53" s="96"/>
      <c r="AH53" s="96"/>
      <c r="AI53" s="96"/>
      <c r="AJ53" s="96"/>
      <c r="AK53" s="96"/>
      <c r="AL53" s="96"/>
      <c r="AM53" s="96"/>
      <c r="AN53" s="96"/>
      <c r="AO53" s="96"/>
    </row>
    <row r="54" spans="1:41" ht="18">
      <c r="A54" s="2">
        <v>53</v>
      </c>
      <c r="B54" s="121"/>
      <c r="C54" s="2" t="s">
        <v>13</v>
      </c>
      <c r="D54" s="2" t="s">
        <v>44</v>
      </c>
      <c r="E54" s="2"/>
      <c r="G54" s="97"/>
      <c r="H54" s="95">
        <v>2</v>
      </c>
      <c r="I54" s="95">
        <v>1</v>
      </c>
      <c r="J54" s="95"/>
      <c r="K54" s="95">
        <v>2</v>
      </c>
      <c r="L54" s="95">
        <v>2</v>
      </c>
      <c r="M54" s="95">
        <v>2</v>
      </c>
      <c r="N54" s="95">
        <v>2</v>
      </c>
      <c r="O54" s="95">
        <v>2</v>
      </c>
      <c r="P54" s="95">
        <v>3</v>
      </c>
      <c r="Q54" s="95">
        <v>2</v>
      </c>
      <c r="R54" s="95">
        <v>4</v>
      </c>
      <c r="S54" s="95">
        <v>4</v>
      </c>
      <c r="T54" s="95">
        <v>2</v>
      </c>
      <c r="U54" s="95"/>
      <c r="V54" s="95">
        <v>2</v>
      </c>
      <c r="W54" s="95">
        <v>2</v>
      </c>
      <c r="X54" s="95">
        <v>3</v>
      </c>
      <c r="Y54" s="95">
        <v>5</v>
      </c>
      <c r="Z54" s="95">
        <v>1</v>
      </c>
      <c r="AA54" s="95">
        <v>2</v>
      </c>
      <c r="AB54" s="95">
        <v>2</v>
      </c>
      <c r="AC54" s="95">
        <v>5</v>
      </c>
      <c r="AD54" s="95">
        <v>4</v>
      </c>
      <c r="AE54" s="95">
        <v>4</v>
      </c>
      <c r="AF54" s="95">
        <v>2</v>
      </c>
      <c r="AG54" s="95">
        <v>2</v>
      </c>
      <c r="AH54" s="95">
        <v>2</v>
      </c>
      <c r="AI54" s="95">
        <v>4</v>
      </c>
      <c r="AJ54" s="95">
        <v>7</v>
      </c>
      <c r="AK54" s="95">
        <v>3</v>
      </c>
      <c r="AL54" s="95">
        <v>4</v>
      </c>
      <c r="AM54" s="95">
        <v>3</v>
      </c>
      <c r="AN54" s="95">
        <v>5</v>
      </c>
      <c r="AO54" s="95">
        <v>4</v>
      </c>
    </row>
    <row r="55" spans="1:41" ht="18">
      <c r="A55" s="2">
        <v>54</v>
      </c>
      <c r="B55" s="121"/>
      <c r="C55" s="2" t="s">
        <v>14</v>
      </c>
      <c r="D55" s="2" t="s">
        <v>45</v>
      </c>
      <c r="E55" s="2"/>
      <c r="G55" s="97"/>
      <c r="H55" s="96"/>
      <c r="I55" s="96">
        <v>1</v>
      </c>
      <c r="J55" s="96"/>
      <c r="K55" s="96"/>
      <c r="L55" s="96"/>
      <c r="M55" s="96">
        <v>1</v>
      </c>
      <c r="N55" s="96"/>
      <c r="O55" s="96"/>
      <c r="P55" s="96"/>
      <c r="Q55" s="96">
        <v>1</v>
      </c>
      <c r="R55" s="96"/>
      <c r="S55" s="96"/>
      <c r="T55" s="96"/>
      <c r="U55" s="96"/>
      <c r="V55" s="96"/>
      <c r="W55" s="96"/>
      <c r="X55" s="96"/>
      <c r="Y55" s="96"/>
      <c r="Z55" s="96"/>
      <c r="AA55" s="96"/>
      <c r="AB55" s="96"/>
      <c r="AC55" s="96">
        <v>1</v>
      </c>
      <c r="AD55" s="96"/>
      <c r="AE55" s="96"/>
      <c r="AF55" s="96">
        <v>1</v>
      </c>
      <c r="AG55" s="96">
        <v>1</v>
      </c>
      <c r="AH55" s="96">
        <v>1</v>
      </c>
      <c r="AI55" s="96"/>
      <c r="AJ55" s="96"/>
      <c r="AK55" s="96">
        <v>1</v>
      </c>
      <c r="AL55" s="96"/>
      <c r="AM55" s="96"/>
      <c r="AN55" s="96"/>
      <c r="AO55" s="96"/>
    </row>
    <row r="56" spans="1:41" ht="18">
      <c r="A56" s="2">
        <v>55</v>
      </c>
      <c r="B56" s="121"/>
      <c r="C56" s="2" t="s">
        <v>15</v>
      </c>
      <c r="D56" s="2" t="s">
        <v>46</v>
      </c>
      <c r="E56" s="2"/>
      <c r="G56" s="97"/>
      <c r="H56" s="95">
        <v>1</v>
      </c>
      <c r="I56" s="95">
        <v>1</v>
      </c>
      <c r="J56" s="95"/>
      <c r="K56" s="95"/>
      <c r="L56" s="95">
        <v>1</v>
      </c>
      <c r="M56" s="95">
        <v>1</v>
      </c>
      <c r="N56" s="95"/>
      <c r="O56" s="95">
        <v>1</v>
      </c>
      <c r="P56" s="95">
        <v>1</v>
      </c>
      <c r="Q56" s="95">
        <v>1</v>
      </c>
      <c r="R56" s="95">
        <v>1</v>
      </c>
      <c r="S56" s="95">
        <v>1</v>
      </c>
      <c r="T56" s="95"/>
      <c r="U56" s="95"/>
      <c r="V56" s="95">
        <v>1</v>
      </c>
      <c r="W56" s="95"/>
      <c r="X56" s="95"/>
      <c r="Y56" s="95">
        <v>1</v>
      </c>
      <c r="Z56" s="95">
        <v>1</v>
      </c>
      <c r="AA56" s="95">
        <v>1</v>
      </c>
      <c r="AB56" s="95">
        <v>1</v>
      </c>
      <c r="AC56" s="95">
        <v>1</v>
      </c>
      <c r="AD56" s="95">
        <v>1</v>
      </c>
      <c r="AE56" s="95">
        <v>1</v>
      </c>
      <c r="AF56" s="95">
        <v>1</v>
      </c>
      <c r="AG56" s="95">
        <v>1</v>
      </c>
      <c r="AH56" s="95">
        <v>1</v>
      </c>
      <c r="AI56" s="95">
        <v>1</v>
      </c>
      <c r="AJ56" s="95">
        <v>1</v>
      </c>
      <c r="AK56" s="95">
        <v>1</v>
      </c>
      <c r="AL56" s="95">
        <v>1</v>
      </c>
      <c r="AM56" s="95">
        <v>1</v>
      </c>
      <c r="AN56" s="95">
        <v>1</v>
      </c>
      <c r="AO56" s="95">
        <v>1</v>
      </c>
    </row>
    <row r="57" spans="1:41" ht="18">
      <c r="A57" s="2">
        <v>56</v>
      </c>
      <c r="B57" s="121"/>
      <c r="C57" s="2" t="s">
        <v>16</v>
      </c>
      <c r="D57" s="2" t="s">
        <v>47</v>
      </c>
      <c r="E57" s="2"/>
      <c r="G57" s="97"/>
      <c r="H57" s="96">
        <v>2</v>
      </c>
      <c r="I57" s="96">
        <v>2</v>
      </c>
      <c r="J57" s="96"/>
      <c r="K57" s="96">
        <v>1</v>
      </c>
      <c r="L57" s="96">
        <v>1</v>
      </c>
      <c r="M57" s="96">
        <v>2</v>
      </c>
      <c r="N57" s="96">
        <v>1</v>
      </c>
      <c r="O57" s="96">
        <v>2</v>
      </c>
      <c r="P57" s="96">
        <v>2</v>
      </c>
      <c r="Q57" s="96">
        <v>2</v>
      </c>
      <c r="R57" s="96">
        <v>2</v>
      </c>
      <c r="S57" s="96">
        <v>2</v>
      </c>
      <c r="T57" s="96">
        <v>1</v>
      </c>
      <c r="U57" s="96">
        <v>2</v>
      </c>
      <c r="V57" s="96">
        <v>2</v>
      </c>
      <c r="W57" s="96">
        <v>1</v>
      </c>
      <c r="X57" s="96">
        <v>2</v>
      </c>
      <c r="Y57" s="96">
        <v>2</v>
      </c>
      <c r="Z57" s="96">
        <v>1</v>
      </c>
      <c r="AA57" s="96">
        <v>1</v>
      </c>
      <c r="AB57" s="96">
        <v>2</v>
      </c>
      <c r="AC57" s="96">
        <v>4</v>
      </c>
      <c r="AD57" s="96">
        <v>2</v>
      </c>
      <c r="AE57" s="96">
        <v>3</v>
      </c>
      <c r="AF57" s="96">
        <v>3</v>
      </c>
      <c r="AG57" s="96">
        <v>2</v>
      </c>
      <c r="AH57" s="96">
        <v>2</v>
      </c>
      <c r="AI57" s="96">
        <v>1</v>
      </c>
      <c r="AJ57" s="96">
        <v>5</v>
      </c>
      <c r="AK57" s="96">
        <v>3</v>
      </c>
      <c r="AL57" s="96">
        <v>2</v>
      </c>
      <c r="AM57" s="96">
        <v>2</v>
      </c>
      <c r="AN57" s="96">
        <v>3</v>
      </c>
      <c r="AO57" s="96">
        <v>3</v>
      </c>
    </row>
    <row r="58" spans="1:41" ht="18">
      <c r="A58" s="2">
        <v>57</v>
      </c>
      <c r="B58" s="121"/>
      <c r="C58" s="2" t="s">
        <v>126</v>
      </c>
      <c r="D58" s="2" t="s">
        <v>127</v>
      </c>
      <c r="E58" s="2"/>
      <c r="G58" s="97"/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  <c r="AB58" s="95"/>
      <c r="AC58" s="95"/>
      <c r="AD58" s="95"/>
      <c r="AE58" s="95"/>
      <c r="AF58" s="95"/>
      <c r="AG58" s="95"/>
      <c r="AH58" s="95"/>
      <c r="AI58" s="95"/>
      <c r="AJ58" s="95"/>
      <c r="AK58" s="95"/>
      <c r="AL58" s="95"/>
      <c r="AM58" s="95"/>
      <c r="AN58" s="95"/>
      <c r="AO58" s="95"/>
    </row>
    <row r="59" spans="1:41" ht="18">
      <c r="A59" s="2">
        <v>58</v>
      </c>
      <c r="B59" s="121"/>
      <c r="C59" s="2" t="s">
        <v>17</v>
      </c>
      <c r="D59" s="2" t="s">
        <v>29</v>
      </c>
      <c r="E59" s="2"/>
      <c r="G59" s="97"/>
      <c r="H59" s="96"/>
      <c r="I59" s="96"/>
      <c r="J59" s="96"/>
      <c r="K59" s="96"/>
      <c r="L59" s="96"/>
      <c r="M59" s="96"/>
      <c r="N59" s="96"/>
      <c r="O59" s="96"/>
      <c r="P59" s="96"/>
      <c r="Q59" s="96"/>
      <c r="R59" s="96"/>
      <c r="S59" s="96"/>
      <c r="T59" s="96"/>
      <c r="U59" s="96"/>
      <c r="V59" s="96"/>
      <c r="W59" s="96"/>
      <c r="X59" s="96"/>
      <c r="Y59" s="96"/>
      <c r="Z59" s="96"/>
      <c r="AA59" s="96"/>
      <c r="AB59" s="96"/>
      <c r="AC59" s="96"/>
      <c r="AD59" s="96"/>
      <c r="AE59" s="96"/>
      <c r="AF59" s="96"/>
      <c r="AG59" s="96"/>
      <c r="AH59" s="96"/>
      <c r="AI59" s="96"/>
      <c r="AJ59" s="96"/>
      <c r="AK59" s="96"/>
      <c r="AL59" s="96"/>
      <c r="AM59" s="96"/>
      <c r="AN59" s="96"/>
      <c r="AO59" s="96"/>
    </row>
    <row r="60" spans="1:41" ht="18">
      <c r="A60" s="2">
        <v>59</v>
      </c>
      <c r="B60" s="121"/>
      <c r="C60" s="2" t="s">
        <v>128</v>
      </c>
      <c r="D60" s="2" t="s">
        <v>29</v>
      </c>
      <c r="E60" s="2"/>
      <c r="G60" s="97"/>
      <c r="H60" s="95"/>
      <c r="I60" s="95">
        <v>2</v>
      </c>
      <c r="J60" s="95"/>
      <c r="K60" s="95"/>
      <c r="L60" s="95"/>
      <c r="M60" s="95">
        <v>2</v>
      </c>
      <c r="N60" s="95"/>
      <c r="O60" s="95"/>
      <c r="P60" s="95"/>
      <c r="Q60" s="95">
        <v>2</v>
      </c>
      <c r="R60" s="95"/>
      <c r="S60" s="95"/>
      <c r="T60" s="95"/>
      <c r="U60" s="95"/>
      <c r="V60" s="95"/>
      <c r="W60" s="95"/>
      <c r="X60" s="95"/>
      <c r="Y60" s="95"/>
      <c r="Z60" s="95"/>
      <c r="AA60" s="95"/>
      <c r="AB60" s="95"/>
      <c r="AC60" s="95"/>
      <c r="AD60" s="95"/>
      <c r="AE60" s="95"/>
      <c r="AF60" s="95">
        <v>2</v>
      </c>
      <c r="AG60" s="95">
        <v>2</v>
      </c>
      <c r="AH60" s="95">
        <v>2</v>
      </c>
      <c r="AI60" s="95"/>
      <c r="AJ60" s="95"/>
      <c r="AK60" s="95">
        <v>2</v>
      </c>
      <c r="AL60" s="95"/>
      <c r="AM60" s="95"/>
      <c r="AN60" s="95"/>
      <c r="AO60" s="95"/>
    </row>
    <row r="61" spans="1:41" ht="18">
      <c r="A61" s="2">
        <v>60</v>
      </c>
      <c r="B61" s="121"/>
      <c r="C61" s="2" t="s">
        <v>18</v>
      </c>
      <c r="D61" s="2" t="s">
        <v>29</v>
      </c>
      <c r="E61" s="2"/>
      <c r="G61" s="97"/>
      <c r="H61" s="96">
        <v>2</v>
      </c>
      <c r="I61" s="96"/>
      <c r="J61" s="96"/>
      <c r="K61" s="96">
        <v>1</v>
      </c>
      <c r="L61" s="96">
        <v>1</v>
      </c>
      <c r="M61" s="96"/>
      <c r="N61" s="96"/>
      <c r="O61" s="96">
        <v>1</v>
      </c>
      <c r="P61" s="96">
        <v>1</v>
      </c>
      <c r="Q61" s="96"/>
      <c r="R61" s="96">
        <v>1</v>
      </c>
      <c r="S61" s="96">
        <v>1</v>
      </c>
      <c r="T61" s="96">
        <v>1</v>
      </c>
      <c r="U61" s="96"/>
      <c r="V61" s="96">
        <v>1</v>
      </c>
      <c r="W61" s="96">
        <v>1</v>
      </c>
      <c r="X61" s="96">
        <v>2</v>
      </c>
      <c r="Y61" s="96">
        <v>1</v>
      </c>
      <c r="Z61" s="96">
        <v>1</v>
      </c>
      <c r="AA61" s="96">
        <v>1</v>
      </c>
      <c r="AB61" s="96">
        <v>1</v>
      </c>
      <c r="AC61" s="96">
        <v>2</v>
      </c>
      <c r="AD61" s="96">
        <v>1</v>
      </c>
      <c r="AE61" s="96">
        <v>2</v>
      </c>
      <c r="AF61" s="96">
        <v>1</v>
      </c>
      <c r="AG61" s="96"/>
      <c r="AH61" s="96"/>
      <c r="AI61" s="96"/>
      <c r="AJ61" s="96">
        <v>4</v>
      </c>
      <c r="AK61" s="96">
        <v>1</v>
      </c>
      <c r="AL61" s="96">
        <v>1</v>
      </c>
      <c r="AM61" s="96">
        <v>1</v>
      </c>
      <c r="AN61" s="96">
        <v>4</v>
      </c>
      <c r="AO61" s="96">
        <v>2</v>
      </c>
    </row>
    <row r="62" spans="1:41" ht="18">
      <c r="A62" s="2">
        <v>61</v>
      </c>
      <c r="B62" s="121"/>
      <c r="C62" s="2" t="s">
        <v>19</v>
      </c>
      <c r="D62" s="2" t="s">
        <v>29</v>
      </c>
      <c r="E62" s="2"/>
      <c r="G62" s="97"/>
      <c r="H62" s="95"/>
      <c r="I62" s="95"/>
      <c r="J62" s="95"/>
      <c r="K62" s="95"/>
      <c r="L62" s="95"/>
      <c r="M62" s="95"/>
      <c r="N62" s="95"/>
      <c r="O62" s="95"/>
      <c r="P62" s="95">
        <v>1</v>
      </c>
      <c r="Q62" s="95"/>
      <c r="R62" s="95">
        <v>1</v>
      </c>
      <c r="S62" s="95">
        <v>1</v>
      </c>
      <c r="T62" s="95"/>
      <c r="U62" s="95"/>
      <c r="V62" s="95"/>
      <c r="W62" s="95"/>
      <c r="X62" s="95"/>
      <c r="Y62" s="95">
        <v>1</v>
      </c>
      <c r="Z62" s="95"/>
      <c r="AA62" s="95"/>
      <c r="AB62" s="95"/>
      <c r="AC62" s="95">
        <v>2</v>
      </c>
      <c r="AD62" s="95">
        <v>1</v>
      </c>
      <c r="AE62" s="95">
        <v>1</v>
      </c>
      <c r="AF62" s="95"/>
      <c r="AG62" s="95"/>
      <c r="AH62" s="95"/>
      <c r="AI62" s="95">
        <v>1</v>
      </c>
      <c r="AJ62" s="95">
        <v>1</v>
      </c>
      <c r="AK62" s="95"/>
      <c r="AL62" s="95">
        <v>1</v>
      </c>
      <c r="AM62" s="95">
        <v>1</v>
      </c>
      <c r="AN62" s="95"/>
      <c r="AO62" s="95">
        <v>1</v>
      </c>
    </row>
    <row r="63" spans="1:41" ht="18">
      <c r="A63" s="3">
        <v>62</v>
      </c>
      <c r="B63" s="122" t="s">
        <v>48</v>
      </c>
      <c r="C63" s="3" t="s">
        <v>20</v>
      </c>
      <c r="D63" s="3" t="s">
        <v>129</v>
      </c>
      <c r="E63" s="3"/>
      <c r="G63" s="96">
        <v>4</v>
      </c>
      <c r="H63" s="96">
        <v>7</v>
      </c>
      <c r="I63" s="96">
        <v>5</v>
      </c>
      <c r="J63" s="96"/>
      <c r="K63" s="96">
        <v>5</v>
      </c>
      <c r="L63" s="96">
        <v>5</v>
      </c>
      <c r="M63" s="96">
        <v>5</v>
      </c>
      <c r="N63" s="96">
        <v>4</v>
      </c>
      <c r="O63" s="96">
        <v>5</v>
      </c>
      <c r="P63" s="96">
        <v>5</v>
      </c>
      <c r="Q63" s="96">
        <v>7</v>
      </c>
      <c r="R63" s="96">
        <v>5</v>
      </c>
      <c r="S63" s="96">
        <v>7</v>
      </c>
      <c r="T63" s="96">
        <v>6</v>
      </c>
      <c r="U63" s="96">
        <v>3</v>
      </c>
      <c r="V63" s="96">
        <v>4</v>
      </c>
      <c r="W63" s="96">
        <v>7</v>
      </c>
      <c r="X63" s="96">
        <v>5</v>
      </c>
      <c r="Y63" s="96">
        <v>3</v>
      </c>
      <c r="Z63" s="96">
        <v>6</v>
      </c>
      <c r="AA63" s="96">
        <v>3</v>
      </c>
      <c r="AB63" s="96">
        <v>5</v>
      </c>
      <c r="AC63" s="96">
        <v>3</v>
      </c>
      <c r="AD63" s="96">
        <v>5</v>
      </c>
      <c r="AE63" s="96">
        <v>5</v>
      </c>
      <c r="AF63" s="96">
        <v>6</v>
      </c>
      <c r="AG63" s="96">
        <v>5</v>
      </c>
      <c r="AH63" s="96">
        <v>4</v>
      </c>
      <c r="AI63" s="96">
        <v>4</v>
      </c>
      <c r="AJ63" s="96">
        <v>6</v>
      </c>
      <c r="AK63" s="96">
        <v>4</v>
      </c>
      <c r="AL63" s="96">
        <v>5</v>
      </c>
      <c r="AM63" s="96">
        <v>3</v>
      </c>
      <c r="AN63" s="96">
        <v>4</v>
      </c>
      <c r="AO63" s="96">
        <v>4</v>
      </c>
    </row>
    <row r="64" spans="1:41" ht="18">
      <c r="A64" s="3">
        <v>63</v>
      </c>
      <c r="B64" s="122"/>
      <c r="C64" s="3" t="s">
        <v>130</v>
      </c>
      <c r="D64" s="3" t="s">
        <v>131</v>
      </c>
      <c r="E64" s="3"/>
      <c r="G64" s="95"/>
      <c r="H64" s="95">
        <v>1</v>
      </c>
      <c r="I64" s="95">
        <v>1</v>
      </c>
      <c r="J64" s="95"/>
      <c r="K64" s="95">
        <v>1</v>
      </c>
      <c r="L64" s="95">
        <v>1</v>
      </c>
      <c r="M64" s="95">
        <v>1</v>
      </c>
      <c r="N64" s="95">
        <v>1</v>
      </c>
      <c r="O64" s="95">
        <v>1</v>
      </c>
      <c r="P64" s="95"/>
      <c r="Q64" s="95">
        <v>1</v>
      </c>
      <c r="R64" s="95">
        <v>1</v>
      </c>
      <c r="S64" s="95">
        <v>1</v>
      </c>
      <c r="T64" s="95">
        <v>1</v>
      </c>
      <c r="U64" s="95"/>
      <c r="V64" s="95">
        <v>1</v>
      </c>
      <c r="W64" s="95">
        <v>1</v>
      </c>
      <c r="X64" s="95">
        <v>1</v>
      </c>
      <c r="Y64" s="95">
        <v>1</v>
      </c>
      <c r="Z64" s="95">
        <v>1</v>
      </c>
      <c r="AA64" s="95">
        <v>1</v>
      </c>
      <c r="AB64" s="95">
        <v>1</v>
      </c>
      <c r="AC64" s="95">
        <v>2</v>
      </c>
      <c r="AD64" s="95">
        <v>1</v>
      </c>
      <c r="AE64" s="95">
        <v>2</v>
      </c>
      <c r="AF64" s="95">
        <v>1</v>
      </c>
      <c r="AG64" s="95">
        <v>1</v>
      </c>
      <c r="AH64" s="95">
        <v>1</v>
      </c>
      <c r="AI64" s="95">
        <v>2</v>
      </c>
      <c r="AJ64" s="95">
        <v>2</v>
      </c>
      <c r="AK64" s="95">
        <v>2</v>
      </c>
      <c r="AL64" s="95">
        <v>1</v>
      </c>
      <c r="AM64" s="95">
        <v>1</v>
      </c>
      <c r="AN64" s="95">
        <v>1</v>
      </c>
      <c r="AO64" s="95">
        <v>1</v>
      </c>
    </row>
    <row r="65" spans="1:41" ht="18">
      <c r="A65" s="3">
        <v>64</v>
      </c>
      <c r="B65" s="122"/>
      <c r="C65" s="3" t="s">
        <v>132</v>
      </c>
      <c r="D65" s="3" t="s">
        <v>133</v>
      </c>
      <c r="E65" s="3"/>
      <c r="G65" s="96"/>
      <c r="H65" s="96"/>
      <c r="I65" s="96"/>
      <c r="J65" s="96"/>
      <c r="K65" s="96"/>
      <c r="L65" s="96"/>
      <c r="M65" s="96"/>
      <c r="N65" s="96"/>
      <c r="O65" s="96"/>
      <c r="P65" s="96"/>
      <c r="Q65" s="96"/>
      <c r="R65" s="96"/>
      <c r="S65" s="96"/>
      <c r="T65" s="96"/>
      <c r="U65" s="96"/>
      <c r="V65" s="96"/>
      <c r="W65" s="96"/>
      <c r="X65" s="96"/>
      <c r="Y65" s="96"/>
      <c r="Z65" s="96"/>
      <c r="AA65" s="96"/>
      <c r="AB65" s="96"/>
      <c r="AC65" s="96"/>
      <c r="AD65" s="96"/>
      <c r="AE65" s="96"/>
      <c r="AF65" s="96"/>
      <c r="AG65" s="96"/>
      <c r="AH65" s="96"/>
      <c r="AI65" s="96"/>
      <c r="AJ65" s="96"/>
      <c r="AK65" s="96"/>
      <c r="AL65" s="96"/>
      <c r="AM65" s="96"/>
      <c r="AN65" s="96"/>
      <c r="AO65" s="96"/>
    </row>
    <row r="66" spans="1:41" ht="18">
      <c r="A66" s="3">
        <v>65</v>
      </c>
      <c r="B66" s="122"/>
      <c r="C66" s="3" t="s">
        <v>21</v>
      </c>
      <c r="D66" s="3" t="s">
        <v>131</v>
      </c>
      <c r="E66" s="3"/>
      <c r="G66" s="95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  <c r="AB66" s="95"/>
      <c r="AC66" s="95"/>
      <c r="AD66" s="95"/>
      <c r="AE66" s="95"/>
      <c r="AF66" s="95"/>
      <c r="AG66" s="95"/>
      <c r="AH66" s="95"/>
      <c r="AI66" s="95"/>
      <c r="AJ66" s="95"/>
      <c r="AK66" s="95"/>
      <c r="AL66" s="95"/>
      <c r="AM66" s="95"/>
      <c r="AN66" s="95"/>
      <c r="AO66" s="95"/>
    </row>
    <row r="67" spans="1:41" ht="18">
      <c r="A67" s="3">
        <v>66</v>
      </c>
      <c r="B67" s="122"/>
      <c r="C67" s="3" t="s">
        <v>134</v>
      </c>
      <c r="D67" s="3" t="s">
        <v>133</v>
      </c>
      <c r="E67" s="3"/>
      <c r="G67" s="96"/>
      <c r="H67" s="96"/>
      <c r="I67" s="96"/>
      <c r="J67" s="96"/>
      <c r="K67" s="96"/>
      <c r="L67" s="96"/>
      <c r="M67" s="96"/>
      <c r="N67" s="96"/>
      <c r="O67" s="96"/>
      <c r="P67" s="96"/>
      <c r="Q67" s="96"/>
      <c r="R67" s="96"/>
      <c r="S67" s="96"/>
      <c r="T67" s="96"/>
      <c r="U67" s="96"/>
      <c r="V67" s="96"/>
      <c r="W67" s="96"/>
      <c r="X67" s="96"/>
      <c r="Y67" s="96"/>
      <c r="Z67" s="96"/>
      <c r="AA67" s="96"/>
      <c r="AB67" s="96"/>
      <c r="AC67" s="96"/>
      <c r="AD67" s="96"/>
      <c r="AE67" s="96"/>
      <c r="AF67" s="96"/>
      <c r="AG67" s="96"/>
      <c r="AH67" s="96"/>
      <c r="AI67" s="96"/>
      <c r="AJ67" s="96"/>
      <c r="AK67" s="96"/>
      <c r="AL67" s="96"/>
      <c r="AM67" s="96"/>
      <c r="AN67" s="96"/>
      <c r="AO67" s="96"/>
    </row>
    <row r="68" spans="1:41" ht="18">
      <c r="A68" s="3">
        <v>67</v>
      </c>
      <c r="B68" s="122"/>
      <c r="C68" s="3" t="s">
        <v>135</v>
      </c>
      <c r="D68" s="3" t="s">
        <v>129</v>
      </c>
      <c r="E68" s="3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  <c r="AB68" s="95"/>
      <c r="AC68" s="95"/>
      <c r="AD68" s="95"/>
      <c r="AE68" s="95"/>
      <c r="AF68" s="95"/>
      <c r="AG68" s="95"/>
      <c r="AH68" s="95"/>
      <c r="AI68" s="95"/>
      <c r="AJ68" s="95"/>
      <c r="AK68" s="95"/>
      <c r="AL68" s="95"/>
      <c r="AM68" s="95"/>
      <c r="AN68" s="95"/>
      <c r="AO68" s="95"/>
    </row>
    <row r="69" spans="1:41" ht="18">
      <c r="A69" s="3">
        <v>68</v>
      </c>
      <c r="B69" s="122"/>
      <c r="C69" s="3" t="s">
        <v>136</v>
      </c>
      <c r="D69" s="3" t="s">
        <v>131</v>
      </c>
      <c r="E69" s="3"/>
      <c r="G69" s="96"/>
      <c r="H69" s="96"/>
      <c r="I69" s="96"/>
      <c r="J69" s="96"/>
      <c r="K69" s="96"/>
      <c r="L69" s="96"/>
      <c r="M69" s="96"/>
      <c r="N69" s="96"/>
      <c r="O69" s="96"/>
      <c r="P69" s="96"/>
      <c r="Q69" s="96"/>
      <c r="R69" s="96"/>
      <c r="S69" s="96"/>
      <c r="T69" s="96"/>
      <c r="U69" s="96"/>
      <c r="V69" s="96"/>
      <c r="W69" s="96"/>
      <c r="X69" s="96"/>
      <c r="Y69" s="96"/>
      <c r="Z69" s="96"/>
      <c r="AA69" s="96"/>
      <c r="AB69" s="96"/>
      <c r="AC69" s="96"/>
      <c r="AD69" s="96"/>
      <c r="AE69" s="96"/>
      <c r="AF69" s="96"/>
      <c r="AG69" s="96"/>
      <c r="AH69" s="96"/>
      <c r="AI69" s="96"/>
      <c r="AJ69" s="96"/>
      <c r="AK69" s="96"/>
      <c r="AL69" s="96"/>
      <c r="AM69" s="96"/>
      <c r="AN69" s="96"/>
      <c r="AO69" s="96"/>
    </row>
    <row r="70" spans="1:41" ht="18">
      <c r="A70" s="3">
        <v>69</v>
      </c>
      <c r="B70" s="122"/>
      <c r="C70" s="3" t="s">
        <v>137</v>
      </c>
      <c r="D70" s="3" t="s">
        <v>133</v>
      </c>
      <c r="E70" s="3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  <c r="AB70" s="95"/>
      <c r="AC70" s="95"/>
      <c r="AD70" s="95"/>
      <c r="AE70" s="95"/>
      <c r="AF70" s="95"/>
      <c r="AG70" s="95"/>
      <c r="AH70" s="95"/>
      <c r="AI70" s="95"/>
      <c r="AJ70" s="95"/>
      <c r="AK70" s="95"/>
      <c r="AL70" s="95"/>
      <c r="AM70" s="95"/>
      <c r="AN70" s="95"/>
      <c r="AO70" s="95"/>
    </row>
    <row r="71" spans="1:41" ht="18">
      <c r="A71" s="3">
        <v>70</v>
      </c>
      <c r="B71" s="122"/>
      <c r="C71" s="3" t="s">
        <v>138</v>
      </c>
      <c r="D71" s="3" t="s">
        <v>131</v>
      </c>
      <c r="E71" s="3"/>
      <c r="G71" s="96"/>
      <c r="H71" s="96"/>
      <c r="I71" s="96"/>
      <c r="J71" s="96"/>
      <c r="K71" s="96"/>
      <c r="L71" s="96"/>
      <c r="M71" s="96"/>
      <c r="N71" s="96"/>
      <c r="O71" s="96"/>
      <c r="P71" s="96"/>
      <c r="Q71" s="96"/>
      <c r="R71" s="96"/>
      <c r="S71" s="96"/>
      <c r="T71" s="96"/>
      <c r="U71" s="96"/>
      <c r="V71" s="96"/>
      <c r="W71" s="96"/>
      <c r="X71" s="96"/>
      <c r="Y71" s="96"/>
      <c r="Z71" s="96"/>
      <c r="AA71" s="96"/>
      <c r="AB71" s="96"/>
      <c r="AC71" s="96"/>
      <c r="AD71" s="96"/>
      <c r="AE71" s="96"/>
      <c r="AF71" s="96"/>
      <c r="AG71" s="96"/>
      <c r="AH71" s="96"/>
      <c r="AI71" s="96"/>
      <c r="AJ71" s="96"/>
      <c r="AK71" s="96"/>
      <c r="AL71" s="96"/>
      <c r="AM71" s="96"/>
      <c r="AN71" s="96"/>
      <c r="AO71" s="96"/>
    </row>
    <row r="72" spans="1:41" ht="18">
      <c r="A72" s="3">
        <v>71</v>
      </c>
      <c r="B72" s="122"/>
      <c r="C72" s="3" t="s">
        <v>139</v>
      </c>
      <c r="D72" s="3" t="s">
        <v>133</v>
      </c>
      <c r="E72" s="3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  <c r="AB72" s="95"/>
      <c r="AC72" s="95"/>
      <c r="AD72" s="95"/>
      <c r="AE72" s="95"/>
      <c r="AF72" s="95"/>
      <c r="AG72" s="95"/>
      <c r="AH72" s="95"/>
      <c r="AI72" s="95"/>
      <c r="AJ72" s="95"/>
      <c r="AK72" s="95"/>
      <c r="AL72" s="95"/>
      <c r="AM72" s="95"/>
      <c r="AN72" s="95"/>
      <c r="AO72" s="95"/>
    </row>
    <row r="73" spans="1:41" ht="18">
      <c r="A73" s="2">
        <v>72</v>
      </c>
      <c r="B73" s="121" t="s">
        <v>49</v>
      </c>
      <c r="C73" s="2" t="s">
        <v>140</v>
      </c>
      <c r="D73" s="2" t="s">
        <v>141</v>
      </c>
      <c r="E73" s="2"/>
      <c r="G73" s="96">
        <v>3</v>
      </c>
      <c r="H73" s="96"/>
      <c r="I73" s="96"/>
      <c r="J73" s="96"/>
      <c r="K73" s="96"/>
      <c r="L73" s="96"/>
      <c r="M73" s="96"/>
      <c r="N73" s="96"/>
      <c r="O73" s="96"/>
      <c r="P73" s="96"/>
      <c r="Q73" s="96"/>
      <c r="R73" s="96"/>
      <c r="S73" s="96"/>
      <c r="T73" s="96"/>
      <c r="U73" s="96"/>
      <c r="V73" s="96">
        <v>1</v>
      </c>
      <c r="W73" s="96"/>
      <c r="X73" s="96"/>
      <c r="Y73" s="96"/>
      <c r="Z73" s="96"/>
      <c r="AA73" s="96"/>
      <c r="AB73" s="96"/>
      <c r="AC73" s="96"/>
      <c r="AD73" s="96"/>
      <c r="AE73" s="96"/>
      <c r="AF73" s="96"/>
      <c r="AG73" s="96"/>
      <c r="AH73" s="96"/>
      <c r="AI73" s="96"/>
      <c r="AJ73" s="96"/>
      <c r="AK73" s="96"/>
      <c r="AL73" s="96"/>
      <c r="AM73" s="96"/>
      <c r="AN73" s="96"/>
      <c r="AO73" s="96">
        <v>1</v>
      </c>
    </row>
    <row r="74" spans="1:41" ht="18">
      <c r="A74" s="2">
        <v>73</v>
      </c>
      <c r="B74" s="121"/>
      <c r="C74" s="2" t="s">
        <v>22</v>
      </c>
      <c r="D74" s="2" t="s">
        <v>142</v>
      </c>
      <c r="E74" s="2"/>
      <c r="G74" s="95"/>
      <c r="H74" s="95">
        <v>2</v>
      </c>
      <c r="I74" s="95">
        <v>2</v>
      </c>
      <c r="J74" s="95"/>
      <c r="K74" s="95">
        <v>2</v>
      </c>
      <c r="L74" s="95">
        <v>2</v>
      </c>
      <c r="M74" s="95">
        <v>2</v>
      </c>
      <c r="N74" s="95">
        <v>2</v>
      </c>
      <c r="O74" s="95">
        <v>2</v>
      </c>
      <c r="P74" s="95">
        <v>2</v>
      </c>
      <c r="Q74" s="95">
        <v>2</v>
      </c>
      <c r="R74" s="95">
        <v>2</v>
      </c>
      <c r="S74" s="95">
        <v>2</v>
      </c>
      <c r="T74" s="95">
        <v>2</v>
      </c>
      <c r="U74" s="95">
        <v>1</v>
      </c>
      <c r="V74" s="95">
        <v>1</v>
      </c>
      <c r="W74" s="95">
        <v>2</v>
      </c>
      <c r="X74" s="95">
        <v>1</v>
      </c>
      <c r="Y74" s="95">
        <v>3</v>
      </c>
      <c r="Z74" s="95">
        <v>2</v>
      </c>
      <c r="AA74" s="95">
        <v>1</v>
      </c>
      <c r="AB74" s="95">
        <v>2</v>
      </c>
      <c r="AC74" s="95">
        <v>3</v>
      </c>
      <c r="AD74" s="95">
        <v>2</v>
      </c>
      <c r="AE74" s="95">
        <v>2</v>
      </c>
      <c r="AF74" s="95">
        <v>2</v>
      </c>
      <c r="AG74" s="95">
        <v>2</v>
      </c>
      <c r="AH74" s="95">
        <v>2</v>
      </c>
      <c r="AI74" s="95">
        <v>3</v>
      </c>
      <c r="AJ74" s="95">
        <v>3</v>
      </c>
      <c r="AK74" s="95">
        <v>3</v>
      </c>
      <c r="AL74" s="95">
        <v>2</v>
      </c>
      <c r="AM74" s="95">
        <v>2</v>
      </c>
      <c r="AN74" s="95">
        <v>2</v>
      </c>
      <c r="AO74" s="95">
        <v>1</v>
      </c>
    </row>
    <row r="75" spans="1:41" ht="18">
      <c r="A75" s="2">
        <v>74</v>
      </c>
      <c r="B75" s="121"/>
      <c r="C75" s="2" t="s">
        <v>143</v>
      </c>
      <c r="D75" s="2" t="s">
        <v>144</v>
      </c>
      <c r="E75" s="2"/>
      <c r="G75" s="96"/>
      <c r="H75" s="96"/>
      <c r="I75" s="96"/>
      <c r="J75" s="96"/>
      <c r="K75" s="96"/>
      <c r="L75" s="96"/>
      <c r="M75" s="96"/>
      <c r="N75" s="96"/>
      <c r="O75" s="96"/>
      <c r="P75" s="96"/>
      <c r="Q75" s="96"/>
      <c r="R75" s="96"/>
      <c r="S75" s="96"/>
      <c r="T75" s="96"/>
      <c r="U75" s="96"/>
      <c r="V75" s="96"/>
      <c r="W75" s="96"/>
      <c r="X75" s="96"/>
      <c r="Y75" s="96"/>
      <c r="Z75" s="96"/>
      <c r="AA75" s="96"/>
      <c r="AB75" s="96"/>
      <c r="AC75" s="96"/>
      <c r="AD75" s="96"/>
      <c r="AE75" s="96"/>
      <c r="AF75" s="96"/>
      <c r="AG75" s="96"/>
      <c r="AH75" s="96"/>
      <c r="AI75" s="96"/>
      <c r="AJ75" s="96"/>
      <c r="AK75" s="96"/>
      <c r="AL75" s="96"/>
      <c r="AM75" s="96"/>
      <c r="AN75" s="96"/>
      <c r="AO75" s="96"/>
    </row>
    <row r="76" spans="1:41" ht="18">
      <c r="A76" s="2">
        <v>75</v>
      </c>
      <c r="B76" s="121"/>
      <c r="C76" s="2" t="s">
        <v>145</v>
      </c>
      <c r="D76" s="2" t="s">
        <v>146</v>
      </c>
      <c r="E76" s="2"/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  <c r="AB76" s="95"/>
      <c r="AC76" s="95"/>
      <c r="AD76" s="95"/>
      <c r="AE76" s="95"/>
      <c r="AF76" s="95"/>
      <c r="AG76" s="95"/>
      <c r="AH76" s="95"/>
      <c r="AI76" s="95"/>
      <c r="AJ76" s="95"/>
      <c r="AK76" s="95"/>
      <c r="AL76" s="95"/>
      <c r="AM76" s="95"/>
      <c r="AN76" s="95"/>
      <c r="AO76" s="95"/>
    </row>
    <row r="77" spans="1:41" ht="18">
      <c r="A77" s="2">
        <v>76</v>
      </c>
      <c r="B77" s="121"/>
      <c r="C77" s="2" t="s">
        <v>23</v>
      </c>
      <c r="D77" s="2" t="s">
        <v>147</v>
      </c>
      <c r="E77" s="2"/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  <c r="R77" s="96"/>
      <c r="S77" s="96"/>
      <c r="T77" s="96"/>
      <c r="U77" s="96"/>
      <c r="V77" s="96"/>
      <c r="W77" s="96"/>
      <c r="X77" s="96"/>
      <c r="Y77" s="96"/>
      <c r="Z77" s="96"/>
      <c r="AA77" s="96"/>
      <c r="AB77" s="96"/>
      <c r="AC77" s="96"/>
      <c r="AD77" s="96"/>
      <c r="AE77" s="96"/>
      <c r="AF77" s="96"/>
      <c r="AG77" s="96"/>
      <c r="AH77" s="96"/>
      <c r="AI77" s="96"/>
      <c r="AJ77" s="96"/>
      <c r="AK77" s="96"/>
      <c r="AL77" s="96"/>
      <c r="AM77" s="96"/>
      <c r="AN77" s="96"/>
      <c r="AO77" s="96"/>
    </row>
    <row r="78" spans="1:41" ht="18">
      <c r="A78" s="2">
        <v>77</v>
      </c>
      <c r="B78" s="121"/>
      <c r="C78" s="2" t="s">
        <v>148</v>
      </c>
      <c r="D78" s="2" t="s">
        <v>149</v>
      </c>
      <c r="E78" s="2"/>
      <c r="G78" s="95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  <c r="AB78" s="95"/>
      <c r="AC78" s="95"/>
      <c r="AD78" s="95"/>
      <c r="AE78" s="95"/>
      <c r="AF78" s="95"/>
      <c r="AG78" s="95"/>
      <c r="AH78" s="95"/>
      <c r="AI78" s="95"/>
      <c r="AJ78" s="95"/>
      <c r="AK78" s="95"/>
      <c r="AL78" s="95"/>
      <c r="AM78" s="95"/>
      <c r="AN78" s="95"/>
      <c r="AO78" s="95"/>
    </row>
    <row r="79" spans="1:41" ht="18">
      <c r="A79" s="3">
        <v>78</v>
      </c>
      <c r="B79" s="122" t="s">
        <v>50</v>
      </c>
      <c r="C79" s="3" t="s">
        <v>25</v>
      </c>
      <c r="D79" s="3" t="s">
        <v>51</v>
      </c>
      <c r="E79" s="3"/>
      <c r="G79" s="96"/>
      <c r="H79" s="96"/>
      <c r="I79" s="96"/>
      <c r="J79" s="96"/>
      <c r="K79" s="96"/>
      <c r="L79" s="96"/>
      <c r="M79" s="96"/>
      <c r="N79" s="96"/>
      <c r="O79" s="96"/>
      <c r="P79" s="96"/>
      <c r="Q79" s="96"/>
      <c r="R79" s="96"/>
      <c r="S79" s="96"/>
      <c r="T79" s="96"/>
      <c r="U79" s="96"/>
      <c r="V79" s="96"/>
      <c r="W79" s="96"/>
      <c r="X79" s="96"/>
      <c r="Y79" s="96"/>
      <c r="Z79" s="96"/>
      <c r="AA79" s="96"/>
      <c r="AB79" s="96"/>
      <c r="AC79" s="96"/>
      <c r="AD79" s="96"/>
      <c r="AE79" s="96"/>
      <c r="AF79" s="96"/>
      <c r="AG79" s="96"/>
      <c r="AH79" s="96"/>
      <c r="AI79" s="96"/>
      <c r="AJ79" s="96"/>
      <c r="AK79" s="96"/>
      <c r="AL79" s="96"/>
      <c r="AM79" s="96"/>
      <c r="AN79" s="96"/>
      <c r="AO79" s="96"/>
    </row>
    <row r="80" spans="1:41" ht="18">
      <c r="A80" s="3">
        <v>79</v>
      </c>
      <c r="B80" s="122"/>
      <c r="C80" s="3" t="s">
        <v>24</v>
      </c>
      <c r="D80" s="3" t="s">
        <v>30</v>
      </c>
      <c r="E80" s="3"/>
      <c r="G80" s="95">
        <v>7</v>
      </c>
      <c r="H80" s="95">
        <v>3</v>
      </c>
      <c r="I80" s="95">
        <v>2</v>
      </c>
      <c r="J80" s="95"/>
      <c r="K80" s="95">
        <v>3</v>
      </c>
      <c r="L80" s="95">
        <v>2</v>
      </c>
      <c r="M80" s="95">
        <v>3</v>
      </c>
      <c r="N80" s="95">
        <v>2</v>
      </c>
      <c r="O80" s="95">
        <v>3</v>
      </c>
      <c r="P80" s="95"/>
      <c r="Q80" s="95">
        <v>2</v>
      </c>
      <c r="R80" s="95">
        <v>5</v>
      </c>
      <c r="S80" s="95">
        <v>2</v>
      </c>
      <c r="T80" s="95"/>
      <c r="U80" s="95"/>
      <c r="V80" s="95">
        <v>5</v>
      </c>
      <c r="W80" s="95">
        <v>1</v>
      </c>
      <c r="X80" s="95">
        <v>3</v>
      </c>
      <c r="Y80" s="95">
        <v>2</v>
      </c>
      <c r="Z80" s="95">
        <v>2</v>
      </c>
      <c r="AA80" s="95">
        <v>2</v>
      </c>
      <c r="AB80" s="95">
        <v>2</v>
      </c>
      <c r="AC80" s="95">
        <v>9</v>
      </c>
      <c r="AD80" s="95">
        <v>4</v>
      </c>
      <c r="AE80" s="95">
        <v>6</v>
      </c>
      <c r="AF80" s="95">
        <v>3</v>
      </c>
      <c r="AG80" s="95">
        <v>2</v>
      </c>
      <c r="AH80" s="95">
        <v>1</v>
      </c>
      <c r="AI80" s="95">
        <v>4</v>
      </c>
      <c r="AJ80" s="95">
        <v>5</v>
      </c>
      <c r="AK80" s="95">
        <v>4</v>
      </c>
      <c r="AL80" s="95">
        <v>3</v>
      </c>
      <c r="AM80" s="95">
        <v>3</v>
      </c>
      <c r="AN80" s="95">
        <v>3</v>
      </c>
      <c r="AO80" s="95">
        <v>4</v>
      </c>
    </row>
    <row r="81" spans="1:41" ht="18">
      <c r="A81" s="3">
        <v>80</v>
      </c>
      <c r="B81" s="122"/>
      <c r="C81" s="3" t="s">
        <v>26</v>
      </c>
      <c r="D81" s="3" t="s">
        <v>162</v>
      </c>
      <c r="E81" s="3"/>
      <c r="G81" s="96">
        <v>7</v>
      </c>
      <c r="H81" s="96">
        <v>3</v>
      </c>
      <c r="I81" s="96">
        <v>2</v>
      </c>
      <c r="J81" s="96"/>
      <c r="K81" s="96">
        <v>3</v>
      </c>
      <c r="L81" s="96">
        <v>2</v>
      </c>
      <c r="M81" s="96">
        <v>3</v>
      </c>
      <c r="N81" s="96">
        <v>2</v>
      </c>
      <c r="O81" s="96">
        <v>3</v>
      </c>
      <c r="P81" s="96"/>
      <c r="Q81" s="96">
        <v>3</v>
      </c>
      <c r="R81" s="96">
        <v>5</v>
      </c>
      <c r="S81" s="96">
        <v>2</v>
      </c>
      <c r="T81" s="96"/>
      <c r="U81" s="96"/>
      <c r="V81" s="96">
        <v>5</v>
      </c>
      <c r="W81" s="96">
        <v>1</v>
      </c>
      <c r="X81" s="96">
        <v>3</v>
      </c>
      <c r="Y81" s="96">
        <v>2</v>
      </c>
      <c r="Z81" s="96">
        <v>2</v>
      </c>
      <c r="AA81" s="96">
        <v>2</v>
      </c>
      <c r="AB81" s="96">
        <v>2</v>
      </c>
      <c r="AC81" s="96">
        <v>9</v>
      </c>
      <c r="AD81" s="96">
        <v>4</v>
      </c>
      <c r="AE81" s="96">
        <v>6</v>
      </c>
      <c r="AF81" s="96">
        <v>3</v>
      </c>
      <c r="AG81" s="96">
        <v>2</v>
      </c>
      <c r="AH81" s="96">
        <v>2</v>
      </c>
      <c r="AI81" s="96">
        <v>4</v>
      </c>
      <c r="AJ81" s="96">
        <v>5</v>
      </c>
      <c r="AK81" s="96">
        <v>4</v>
      </c>
      <c r="AL81" s="96">
        <v>3</v>
      </c>
      <c r="AM81" s="96">
        <v>3</v>
      </c>
      <c r="AN81" s="96">
        <v>3</v>
      </c>
      <c r="AO81" s="96">
        <v>4</v>
      </c>
    </row>
    <row r="82" spans="1:41" ht="18">
      <c r="A82" s="3">
        <v>81</v>
      </c>
      <c r="B82" s="122"/>
      <c r="C82" s="3" t="s">
        <v>27</v>
      </c>
      <c r="D82" s="3" t="s">
        <v>163</v>
      </c>
      <c r="E82" s="3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  <c r="AC82" s="95"/>
      <c r="AD82" s="95"/>
      <c r="AE82" s="95"/>
      <c r="AF82" s="95"/>
      <c r="AG82" s="95"/>
      <c r="AH82" s="95"/>
      <c r="AI82" s="95"/>
      <c r="AJ82" s="95"/>
      <c r="AK82" s="95"/>
      <c r="AL82" s="95"/>
      <c r="AM82" s="95"/>
      <c r="AN82" s="95"/>
      <c r="AO82" s="95"/>
    </row>
    <row r="83" spans="1:41" ht="18">
      <c r="A83" s="4"/>
      <c r="B83" s="122"/>
      <c r="C83" s="4" t="s">
        <v>28</v>
      </c>
      <c r="D83" s="4" t="s">
        <v>164</v>
      </c>
      <c r="E83" s="4"/>
      <c r="G83" s="96"/>
      <c r="H83" s="96"/>
      <c r="I83" s="96"/>
      <c r="J83" s="96"/>
      <c r="K83" s="96"/>
      <c r="L83" s="96"/>
      <c r="M83" s="96"/>
      <c r="N83" s="96"/>
      <c r="O83" s="96"/>
      <c r="P83" s="96"/>
      <c r="Q83" s="96"/>
      <c r="R83" s="96"/>
      <c r="S83" s="96"/>
      <c r="T83" s="96"/>
      <c r="U83" s="96"/>
      <c r="V83" s="96"/>
      <c r="W83" s="96"/>
      <c r="X83" s="96"/>
      <c r="Y83" s="96"/>
      <c r="Z83" s="96"/>
      <c r="AA83" s="96"/>
      <c r="AB83" s="96"/>
      <c r="AC83" s="96"/>
      <c r="AD83" s="96"/>
      <c r="AE83" s="96"/>
      <c r="AF83" s="96"/>
      <c r="AG83" s="96"/>
      <c r="AH83" s="96"/>
      <c r="AI83" s="96"/>
      <c r="AJ83" s="96"/>
      <c r="AK83" s="96"/>
      <c r="AL83" s="96"/>
      <c r="AM83" s="96"/>
      <c r="AN83" s="96"/>
      <c r="AO83" s="96"/>
    </row>
    <row r="84" spans="1:41" ht="18">
      <c r="A84" s="3">
        <v>82</v>
      </c>
      <c r="B84" s="122"/>
      <c r="C84" s="4" t="s">
        <v>161</v>
      </c>
      <c r="D84" s="4" t="s">
        <v>165</v>
      </c>
      <c r="E84" s="3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  <c r="AC84" s="95"/>
      <c r="AD84" s="95"/>
      <c r="AE84" s="95"/>
      <c r="AF84" s="95"/>
      <c r="AG84" s="95"/>
      <c r="AH84" s="95"/>
      <c r="AI84" s="95"/>
      <c r="AJ84" s="95"/>
      <c r="AK84" s="95"/>
      <c r="AL84" s="95"/>
      <c r="AM84" s="95"/>
      <c r="AN84" s="95"/>
      <c r="AO84" s="95"/>
    </row>
    <row r="85" spans="1:41" ht="18">
      <c r="A85" s="2">
        <v>83</v>
      </c>
      <c r="B85" s="121" t="s">
        <v>150</v>
      </c>
      <c r="C85" s="2" t="s">
        <v>151</v>
      </c>
      <c r="D85" s="2" t="s">
        <v>152</v>
      </c>
      <c r="E85" s="2"/>
      <c r="G85" s="96"/>
      <c r="H85" s="96"/>
      <c r="I85" s="96"/>
      <c r="J85" s="96"/>
      <c r="K85" s="96"/>
      <c r="L85" s="96"/>
      <c r="M85" s="96"/>
      <c r="N85" s="96"/>
      <c r="O85" s="96"/>
      <c r="P85" s="96"/>
      <c r="Q85" s="96"/>
      <c r="R85" s="96"/>
      <c r="S85" s="96"/>
      <c r="T85" s="96"/>
      <c r="U85" s="96"/>
      <c r="V85" s="96"/>
      <c r="W85" s="96"/>
      <c r="X85" s="96"/>
      <c r="Y85" s="96"/>
      <c r="Z85" s="96"/>
      <c r="AA85" s="96"/>
      <c r="AB85" s="96"/>
      <c r="AC85" s="96"/>
      <c r="AD85" s="96"/>
      <c r="AE85" s="96"/>
      <c r="AF85" s="96"/>
      <c r="AG85" s="96"/>
      <c r="AH85" s="96"/>
      <c r="AI85" s="96"/>
      <c r="AJ85" s="96"/>
      <c r="AK85" s="96"/>
      <c r="AL85" s="96"/>
      <c r="AM85" s="96"/>
      <c r="AN85" s="96"/>
      <c r="AO85" s="96"/>
    </row>
    <row r="86" spans="1:41" ht="18">
      <c r="A86" s="2">
        <v>84</v>
      </c>
      <c r="B86" s="121"/>
      <c r="C86" s="2" t="s">
        <v>153</v>
      </c>
      <c r="D86" s="2" t="s">
        <v>154</v>
      </c>
      <c r="E86" s="2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  <c r="AC86" s="95"/>
      <c r="AD86" s="95"/>
      <c r="AE86" s="95"/>
      <c r="AF86" s="95"/>
      <c r="AG86" s="95"/>
      <c r="AH86" s="95"/>
      <c r="AI86" s="95"/>
      <c r="AJ86" s="95"/>
      <c r="AK86" s="95"/>
      <c r="AL86" s="95"/>
      <c r="AM86" s="95"/>
      <c r="AN86" s="95"/>
      <c r="AO86" s="95"/>
    </row>
    <row r="87" spans="1:41" ht="18">
      <c r="A87" s="2">
        <v>85</v>
      </c>
      <c r="B87" s="121"/>
      <c r="C87" s="2" t="s">
        <v>155</v>
      </c>
      <c r="D87" s="2" t="s">
        <v>156</v>
      </c>
      <c r="E87" s="2"/>
      <c r="G87" s="96"/>
      <c r="H87" s="96"/>
      <c r="I87" s="96"/>
      <c r="J87" s="96"/>
      <c r="K87" s="96"/>
      <c r="L87" s="96"/>
      <c r="M87" s="96"/>
      <c r="N87" s="96"/>
      <c r="O87" s="96"/>
      <c r="P87" s="96"/>
      <c r="Q87" s="96"/>
      <c r="R87" s="96"/>
      <c r="S87" s="96"/>
      <c r="T87" s="96"/>
      <c r="U87" s="96"/>
      <c r="V87" s="96"/>
      <c r="W87" s="96"/>
      <c r="X87" s="96"/>
      <c r="Y87" s="96"/>
      <c r="Z87" s="96"/>
      <c r="AA87" s="96"/>
      <c r="AB87" s="96"/>
      <c r="AC87" s="96"/>
      <c r="AD87" s="96"/>
      <c r="AE87" s="96"/>
      <c r="AF87" s="96"/>
      <c r="AG87" s="96"/>
      <c r="AH87" s="96"/>
      <c r="AI87" s="96"/>
      <c r="AJ87" s="96"/>
      <c r="AK87" s="96"/>
      <c r="AL87" s="96"/>
      <c r="AM87" s="96"/>
      <c r="AN87" s="96"/>
      <c r="AO87" s="96"/>
    </row>
    <row r="88" spans="1:41" ht="18">
      <c r="A88" s="3">
        <v>86</v>
      </c>
      <c r="B88" s="3" t="s">
        <v>198</v>
      </c>
      <c r="C88" s="3" t="s">
        <v>361</v>
      </c>
      <c r="D88" s="3" t="s">
        <v>496</v>
      </c>
      <c r="E88" s="3"/>
      <c r="G88" s="95"/>
      <c r="H88" s="95">
        <v>1</v>
      </c>
      <c r="I88" s="95">
        <v>1</v>
      </c>
      <c r="J88" s="95"/>
      <c r="K88" s="95">
        <v>2</v>
      </c>
      <c r="L88" s="95">
        <v>1</v>
      </c>
      <c r="M88" s="95">
        <v>1</v>
      </c>
      <c r="N88" s="95">
        <v>2</v>
      </c>
      <c r="O88" s="95">
        <v>1</v>
      </c>
      <c r="P88" s="95">
        <v>1</v>
      </c>
      <c r="Q88" s="95">
        <v>1</v>
      </c>
      <c r="R88" s="95">
        <v>1</v>
      </c>
      <c r="S88" s="95">
        <v>1</v>
      </c>
      <c r="T88" s="95">
        <v>1</v>
      </c>
      <c r="U88" s="95">
        <v>1</v>
      </c>
      <c r="V88" s="95">
        <v>2</v>
      </c>
      <c r="W88" s="95">
        <v>1</v>
      </c>
      <c r="X88" s="95">
        <v>3</v>
      </c>
      <c r="Y88" s="95">
        <v>2</v>
      </c>
      <c r="Z88" s="95">
        <v>1</v>
      </c>
      <c r="AA88" s="95">
        <v>1</v>
      </c>
      <c r="AB88" s="95">
        <v>1</v>
      </c>
      <c r="AC88" s="95">
        <v>1</v>
      </c>
      <c r="AD88" s="95">
        <v>2</v>
      </c>
      <c r="AE88" s="95">
        <v>1</v>
      </c>
      <c r="AF88" s="95">
        <v>3</v>
      </c>
      <c r="AG88" s="95">
        <v>1</v>
      </c>
      <c r="AH88" s="95">
        <v>1</v>
      </c>
      <c r="AI88" s="95">
        <v>1</v>
      </c>
      <c r="AJ88" s="95">
        <v>2</v>
      </c>
      <c r="AK88" s="95">
        <v>1</v>
      </c>
      <c r="AL88" s="95">
        <v>1</v>
      </c>
      <c r="AM88" s="95">
        <v>1</v>
      </c>
      <c r="AN88" s="95">
        <v>2</v>
      </c>
      <c r="AO88" s="95">
        <v>1</v>
      </c>
    </row>
    <row r="89" spans="1:41" ht="18">
      <c r="A89" s="2">
        <v>87</v>
      </c>
      <c r="B89" s="2" t="s">
        <v>159</v>
      </c>
      <c r="C89" s="6" t="s">
        <v>184</v>
      </c>
      <c r="D89" s="120" t="s">
        <v>159</v>
      </c>
      <c r="E89" s="2"/>
      <c r="G89" s="96">
        <v>6</v>
      </c>
      <c r="H89" s="96">
        <v>4</v>
      </c>
      <c r="I89" s="96">
        <v>5</v>
      </c>
      <c r="J89" s="96"/>
      <c r="K89" s="96">
        <v>4</v>
      </c>
      <c r="L89" s="96">
        <v>5</v>
      </c>
      <c r="M89" s="96">
        <v>7</v>
      </c>
      <c r="N89" s="96">
        <v>5</v>
      </c>
      <c r="O89" s="96">
        <v>5</v>
      </c>
      <c r="P89" s="96">
        <v>5</v>
      </c>
      <c r="Q89" s="96">
        <v>5</v>
      </c>
      <c r="R89" s="96">
        <v>5</v>
      </c>
      <c r="S89" s="96">
        <v>5</v>
      </c>
      <c r="T89" s="96">
        <v>3</v>
      </c>
      <c r="U89" s="96"/>
      <c r="V89" s="96">
        <v>4</v>
      </c>
      <c r="W89" s="96">
        <v>3</v>
      </c>
      <c r="X89" s="96">
        <v>4</v>
      </c>
      <c r="Y89" s="96">
        <v>15</v>
      </c>
      <c r="Z89" s="96">
        <v>4</v>
      </c>
      <c r="AA89" s="96">
        <v>6</v>
      </c>
      <c r="AB89" s="96">
        <v>9</v>
      </c>
      <c r="AC89" s="96">
        <v>18</v>
      </c>
      <c r="AD89" s="96">
        <v>3</v>
      </c>
      <c r="AE89" s="96">
        <v>8</v>
      </c>
      <c r="AF89" s="96">
        <v>5</v>
      </c>
      <c r="AG89" s="96">
        <v>5</v>
      </c>
      <c r="AH89" s="96">
        <v>4</v>
      </c>
      <c r="AI89" s="96">
        <v>4</v>
      </c>
      <c r="AJ89" s="96">
        <v>6</v>
      </c>
      <c r="AK89" s="96">
        <v>8</v>
      </c>
      <c r="AL89" s="96">
        <v>4</v>
      </c>
      <c r="AM89" s="96">
        <v>5</v>
      </c>
      <c r="AN89" s="96">
        <v>9</v>
      </c>
      <c r="AO89" s="96">
        <v>4</v>
      </c>
    </row>
    <row r="90" spans="1:41" ht="18">
      <c r="A90" s="94">
        <v>88</v>
      </c>
      <c r="B90" s="94" t="s">
        <v>219</v>
      </c>
      <c r="C90" s="94"/>
      <c r="D90" s="94" t="s">
        <v>466</v>
      </c>
      <c r="E90" s="94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>
        <v>24</v>
      </c>
      <c r="W90" s="95">
        <v>16</v>
      </c>
      <c r="X90" s="95">
        <v>28</v>
      </c>
      <c r="Y90" s="95">
        <v>12</v>
      </c>
      <c r="Z90" s="95">
        <f>5*4</f>
        <v>20</v>
      </c>
      <c r="AA90" s="95">
        <f>4*2</f>
        <v>8</v>
      </c>
      <c r="AB90" s="95">
        <f>5*4</f>
        <v>20</v>
      </c>
      <c r="AC90" s="95">
        <f>10*4</f>
        <v>40</v>
      </c>
      <c r="AD90" s="95">
        <v>37</v>
      </c>
      <c r="AE90" s="95">
        <v>33</v>
      </c>
      <c r="AF90" s="95">
        <v>41</v>
      </c>
      <c r="AG90" s="95">
        <v>37</v>
      </c>
      <c r="AH90" s="95">
        <f>4*8</f>
        <v>32</v>
      </c>
      <c r="AI90" s="95">
        <v>21</v>
      </c>
      <c r="AJ90" s="95">
        <v>65</v>
      </c>
      <c r="AK90" s="95">
        <f>7*4</f>
        <v>28</v>
      </c>
      <c r="AL90" s="95">
        <v>37</v>
      </c>
      <c r="AM90" s="95">
        <v>49</v>
      </c>
      <c r="AN90" s="95">
        <v>36</v>
      </c>
      <c r="AO90" s="95">
        <v>17</v>
      </c>
    </row>
    <row r="91" spans="1:41">
      <c r="G91" s="96"/>
      <c r="H91" s="96"/>
      <c r="I91" s="96"/>
      <c r="J91" s="96"/>
      <c r="K91" s="96"/>
      <c r="L91" s="96"/>
      <c r="M91" s="96"/>
      <c r="N91" s="96"/>
      <c r="O91" s="96"/>
      <c r="P91" s="96"/>
      <c r="Q91" s="96"/>
      <c r="R91" s="96"/>
      <c r="S91" s="96"/>
      <c r="T91" s="96"/>
      <c r="U91" s="96"/>
      <c r="V91" s="96"/>
      <c r="W91" s="96"/>
      <c r="X91" s="96"/>
      <c r="Y91" s="96"/>
      <c r="Z91" s="96"/>
      <c r="AA91" s="96"/>
      <c r="AB91" s="96"/>
      <c r="AC91" s="96"/>
      <c r="AD91" s="96"/>
      <c r="AE91" s="96"/>
      <c r="AF91" s="96"/>
      <c r="AG91" s="96"/>
      <c r="AH91" s="96"/>
      <c r="AI91" s="96"/>
      <c r="AJ91" s="96"/>
      <c r="AK91" s="96"/>
      <c r="AL91" s="96"/>
      <c r="AM91" s="96"/>
      <c r="AN91" s="96"/>
      <c r="AO91" s="96"/>
    </row>
    <row r="92" spans="1:41" ht="15.75" thickBot="1">
      <c r="G92" s="98">
        <v>51</v>
      </c>
      <c r="H92" s="98">
        <v>43</v>
      </c>
      <c r="I92" s="98">
        <v>34</v>
      </c>
      <c r="J92" s="98"/>
      <c r="K92" s="98">
        <v>34</v>
      </c>
      <c r="L92" s="98">
        <v>37</v>
      </c>
      <c r="M92" s="98">
        <v>41</v>
      </c>
      <c r="N92" s="98">
        <v>34</v>
      </c>
      <c r="O92" s="98">
        <v>41</v>
      </c>
      <c r="P92" s="98">
        <v>39</v>
      </c>
      <c r="Q92" s="98">
        <v>47</v>
      </c>
      <c r="R92" s="98">
        <v>48</v>
      </c>
      <c r="S92" s="98">
        <v>47</v>
      </c>
      <c r="T92" s="98">
        <v>28</v>
      </c>
      <c r="U92" s="98"/>
      <c r="V92" s="98">
        <v>38</v>
      </c>
      <c r="W92" s="98">
        <v>30</v>
      </c>
      <c r="X92" s="98">
        <v>37</v>
      </c>
      <c r="Y92" s="98">
        <v>44</v>
      </c>
      <c r="Z92" s="98">
        <v>32</v>
      </c>
      <c r="AA92" s="98">
        <v>26</v>
      </c>
      <c r="AB92" s="98">
        <v>41</v>
      </c>
      <c r="AC92" s="98">
        <v>77</v>
      </c>
      <c r="AD92" s="98">
        <v>44</v>
      </c>
      <c r="AE92" s="98">
        <v>54</v>
      </c>
      <c r="AF92" s="98">
        <v>46</v>
      </c>
      <c r="AG92" s="98">
        <v>45</v>
      </c>
      <c r="AH92" s="98">
        <v>39</v>
      </c>
      <c r="AI92" s="98"/>
      <c r="AJ92" s="98"/>
      <c r="AK92" s="98">
        <v>54</v>
      </c>
      <c r="AL92" s="98">
        <v>41</v>
      </c>
      <c r="AM92" s="98"/>
      <c r="AN92" s="98"/>
      <c r="AO92" s="98"/>
    </row>
  </sheetData>
  <autoFilter ref="A1:E90"/>
  <mergeCells count="11">
    <mergeCell ref="B85:B87"/>
    <mergeCell ref="B40:B41"/>
    <mergeCell ref="B42:B51"/>
    <mergeCell ref="B52:B62"/>
    <mergeCell ref="B63:B72"/>
    <mergeCell ref="B73:B78"/>
    <mergeCell ref="B2:B18"/>
    <mergeCell ref="B19:B26"/>
    <mergeCell ref="B27:B33"/>
    <mergeCell ref="B34:B39"/>
    <mergeCell ref="B79:B84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/>
  <dimension ref="A1:M142"/>
  <sheetViews>
    <sheetView rightToLeft="1" zoomScale="90" zoomScaleNormal="90" workbookViewId="0">
      <selection activeCell="C46" sqref="C46"/>
    </sheetView>
  </sheetViews>
  <sheetFormatPr defaultRowHeight="15"/>
  <cols>
    <col min="1" max="1" width="6" style="16" customWidth="1"/>
    <col min="2" max="2" width="12.28515625" style="22" bestFit="1" customWidth="1"/>
    <col min="3" max="3" width="28.42578125" style="38" bestFit="1" customWidth="1"/>
    <col min="4" max="4" width="12.140625" style="38" bestFit="1" customWidth="1"/>
    <col min="5" max="5" width="38.28515625" style="87" customWidth="1"/>
    <col min="6" max="6" width="7.7109375" style="65" bestFit="1" customWidth="1"/>
    <col min="7" max="7" width="8.28515625" style="65" customWidth="1"/>
    <col min="8" max="8" width="16.28515625" style="65" customWidth="1"/>
    <col min="10" max="10" width="7" customWidth="1"/>
    <col min="11" max="11" width="5.5703125" customWidth="1"/>
    <col min="12" max="12" width="15.7109375" bestFit="1" customWidth="1"/>
    <col min="13" max="13" width="2.85546875" style="16" bestFit="1" customWidth="1"/>
  </cols>
  <sheetData>
    <row r="1" spans="1:13" s="17" customFormat="1" ht="48" thickBot="1">
      <c r="A1" s="61" t="s">
        <v>0</v>
      </c>
      <c r="B1" s="62" t="s">
        <v>233</v>
      </c>
      <c r="C1" s="63" t="s">
        <v>53</v>
      </c>
      <c r="D1" s="63" t="s">
        <v>250</v>
      </c>
      <c r="E1" s="78" t="s">
        <v>168</v>
      </c>
      <c r="F1" s="62" t="s">
        <v>167</v>
      </c>
      <c r="G1" s="62" t="s">
        <v>169</v>
      </c>
      <c r="H1" s="64" t="s">
        <v>231</v>
      </c>
      <c r="M1" s="22"/>
    </row>
    <row r="2" spans="1:13" ht="18.75" hidden="1" customHeight="1" thickBot="1">
      <c r="A2" s="41">
        <v>1</v>
      </c>
      <c r="B2" s="136" t="s">
        <v>55</v>
      </c>
      <c r="C2" s="60" t="s">
        <v>3</v>
      </c>
      <c r="D2" s="60" t="s">
        <v>307</v>
      </c>
      <c r="E2" s="79" t="s">
        <v>170</v>
      </c>
      <c r="F2" s="101">
        <f>Link!AA2</f>
        <v>0</v>
      </c>
      <c r="G2" s="26"/>
      <c r="H2" s="51"/>
    </row>
    <row r="3" spans="1:13" ht="19.5" hidden="1" customHeight="1" thickTop="1" thickBot="1">
      <c r="A3" s="9">
        <v>2</v>
      </c>
      <c r="B3" s="136"/>
      <c r="C3" s="34" t="s">
        <v>2</v>
      </c>
      <c r="D3" s="34" t="s">
        <v>338</v>
      </c>
      <c r="E3" s="80" t="s">
        <v>171</v>
      </c>
      <c r="F3" s="102">
        <f>Link!AA3</f>
        <v>0</v>
      </c>
      <c r="G3" s="9"/>
      <c r="H3" s="48"/>
    </row>
    <row r="4" spans="1:13" ht="18.75" customHeight="1" thickBot="1">
      <c r="A4" s="41">
        <v>3</v>
      </c>
      <c r="B4" s="136"/>
      <c r="C4" s="132" t="s">
        <v>248</v>
      </c>
      <c r="D4" s="31" t="s">
        <v>308</v>
      </c>
      <c r="E4" s="81" t="s">
        <v>185</v>
      </c>
      <c r="F4" s="103">
        <f>(Link!AA4*2)+(Link!AA5*2)+(Link!AA6*2)+(Link!AA7*2)+(Link!AA8*2)+(Link!AA9*2)+(Link!AA10*2)+(Link!AA11*2)+(Link!AA12*2)+(Link!AA13*2)+(Link!AA14*2)+(Link!AA15*2)</f>
        <v>2</v>
      </c>
      <c r="G4" s="15"/>
      <c r="H4" s="49"/>
    </row>
    <row r="5" spans="1:13" ht="18.75" hidden="1" customHeight="1" thickTop="1" thickBot="1">
      <c r="A5" s="9">
        <v>6</v>
      </c>
      <c r="B5" s="136"/>
      <c r="C5" s="133"/>
      <c r="D5" s="30" t="s">
        <v>309</v>
      </c>
      <c r="E5" s="82" t="s">
        <v>245</v>
      </c>
      <c r="F5" s="104">
        <f>(Link!AA4*2)+(Link!AA5*1)+(Link!AA6*1)+(Link!AA7*1)+(Link!AA10*1)</f>
        <v>0</v>
      </c>
      <c r="G5" s="12"/>
      <c r="H5" s="50"/>
    </row>
    <row r="6" spans="1:13" ht="18.75" hidden="1" customHeight="1" thickTop="1" thickBot="1">
      <c r="A6" s="41">
        <v>7</v>
      </c>
      <c r="B6" s="136"/>
      <c r="C6" s="133"/>
      <c r="D6" s="30" t="s">
        <v>310</v>
      </c>
      <c r="E6" s="82" t="s">
        <v>244</v>
      </c>
      <c r="F6" s="104">
        <f>(Link!AA5*1)+(Link!AA7*1)+(Link!AA8*2)+(Link!AA9*1)+(Link!AA11*1)</f>
        <v>0</v>
      </c>
      <c r="G6" s="12"/>
      <c r="H6" s="50"/>
    </row>
    <row r="7" spans="1:13" ht="18.75" hidden="1" customHeight="1" thickTop="1" thickBot="1">
      <c r="A7" s="9">
        <v>8</v>
      </c>
      <c r="B7" s="136"/>
      <c r="C7" s="134"/>
      <c r="D7" s="29" t="s">
        <v>311</v>
      </c>
      <c r="E7" s="83" t="s">
        <v>243</v>
      </c>
      <c r="F7" s="105">
        <f>(Link!AA6*1)+(Link!AA9*1)+(Link!AA10*1)+(Link!AA11*1)+(Link!AA12*2)</f>
        <v>0</v>
      </c>
      <c r="G7" s="13"/>
      <c r="H7" s="47"/>
    </row>
    <row r="8" spans="1:13" ht="18.75" hidden="1" customHeight="1" thickTop="1" thickBot="1">
      <c r="A8" s="41">
        <v>9</v>
      </c>
      <c r="B8" s="136"/>
      <c r="C8" s="132" t="s">
        <v>249</v>
      </c>
      <c r="D8" s="31" t="s">
        <v>312</v>
      </c>
      <c r="E8" s="81" t="s">
        <v>242</v>
      </c>
      <c r="F8" s="103">
        <f>(Link!AA13*1)</f>
        <v>0</v>
      </c>
      <c r="G8" s="15"/>
      <c r="H8" s="49"/>
    </row>
    <row r="9" spans="1:13" ht="18.75" hidden="1" customHeight="1" thickTop="1" thickBot="1">
      <c r="A9" s="9">
        <v>10</v>
      </c>
      <c r="B9" s="136"/>
      <c r="C9" s="133"/>
      <c r="D9" s="31" t="s">
        <v>313</v>
      </c>
      <c r="E9" s="82" t="s">
        <v>246</v>
      </c>
      <c r="F9" s="104">
        <f>(Link!AA14*1)</f>
        <v>0</v>
      </c>
      <c r="G9" s="12"/>
      <c r="H9" s="50"/>
    </row>
    <row r="10" spans="1:13" ht="18.75" customHeight="1" thickTop="1" thickBot="1">
      <c r="A10" s="41">
        <v>11</v>
      </c>
      <c r="B10" s="136"/>
      <c r="C10" s="133"/>
      <c r="D10" s="31" t="s">
        <v>314</v>
      </c>
      <c r="E10" s="82" t="s">
        <v>247</v>
      </c>
      <c r="F10" s="104">
        <f>(Link!AA15*1)</f>
        <v>1</v>
      </c>
      <c r="G10" s="12"/>
      <c r="H10" s="50"/>
    </row>
    <row r="11" spans="1:13" ht="18.75" hidden="1" customHeight="1" thickTop="1" thickBot="1">
      <c r="A11" s="9">
        <v>12</v>
      </c>
      <c r="B11" s="136"/>
      <c r="C11" s="33" t="s">
        <v>241</v>
      </c>
      <c r="D11" s="33" t="s">
        <v>315</v>
      </c>
      <c r="E11" s="81" t="s">
        <v>468</v>
      </c>
      <c r="F11" s="103">
        <f>(Link!AA16*2)+(Link!AA17*2)+(Link!AA18*3)</f>
        <v>0</v>
      </c>
      <c r="G11" s="15"/>
      <c r="H11" s="49"/>
    </row>
    <row r="12" spans="1:13" ht="18.75" hidden="1" customHeight="1" thickTop="1" thickBot="1">
      <c r="A12" s="41">
        <v>13</v>
      </c>
      <c r="B12" s="136"/>
      <c r="C12" s="32" t="s">
        <v>67</v>
      </c>
      <c r="D12" s="32" t="s">
        <v>316</v>
      </c>
      <c r="E12" s="83" t="s">
        <v>458</v>
      </c>
      <c r="F12" s="105">
        <f>Link!AA16*4</f>
        <v>0</v>
      </c>
      <c r="G12" s="13"/>
      <c r="H12" s="47"/>
    </row>
    <row r="13" spans="1:13" ht="18.75" hidden="1" customHeight="1" thickTop="1" thickBot="1">
      <c r="A13" s="9">
        <v>14</v>
      </c>
      <c r="B13" s="136"/>
      <c r="C13" s="34" t="s">
        <v>4</v>
      </c>
      <c r="D13" s="32" t="s">
        <v>336</v>
      </c>
      <c r="E13" s="83" t="s">
        <v>459</v>
      </c>
      <c r="F13" s="105">
        <f>Link!AA17*4</f>
        <v>0</v>
      </c>
      <c r="G13" s="13"/>
      <c r="H13" s="47"/>
    </row>
    <row r="14" spans="1:13" ht="18.75" hidden="1" customHeight="1" thickTop="1" thickBot="1">
      <c r="A14" s="41">
        <v>15</v>
      </c>
      <c r="B14" s="137"/>
      <c r="C14" s="34" t="s">
        <v>1</v>
      </c>
      <c r="D14" s="32" t="s">
        <v>337</v>
      </c>
      <c r="E14" s="83" t="s">
        <v>460</v>
      </c>
      <c r="F14" s="105">
        <f>Link!AA18*4</f>
        <v>0</v>
      </c>
      <c r="G14" s="13"/>
      <c r="H14" s="47"/>
    </row>
    <row r="15" spans="1:13" ht="19.5" hidden="1" thickTop="1" thickBot="1">
      <c r="A15" s="9">
        <v>16</v>
      </c>
      <c r="B15" s="125" t="s">
        <v>259</v>
      </c>
      <c r="C15" s="123" t="s">
        <v>260</v>
      </c>
      <c r="D15" s="31" t="s">
        <v>251</v>
      </c>
      <c r="E15" s="81" t="s">
        <v>172</v>
      </c>
      <c r="F15" s="103">
        <f>(Link!AA20*1)+(Link!AA21*1)</f>
        <v>0</v>
      </c>
      <c r="G15" s="15"/>
      <c r="H15" s="49"/>
    </row>
    <row r="16" spans="1:13" ht="19.5" hidden="1" thickTop="1" thickBot="1">
      <c r="A16" s="41">
        <v>17</v>
      </c>
      <c r="B16" s="126"/>
      <c r="C16" s="128"/>
      <c r="D16" s="31" t="s">
        <v>252</v>
      </c>
      <c r="E16" s="82" t="s">
        <v>173</v>
      </c>
      <c r="F16" s="104">
        <f>(Link!AA20*1)</f>
        <v>0</v>
      </c>
      <c r="G16" s="12"/>
      <c r="H16" s="50"/>
    </row>
    <row r="17" spans="1:8" ht="19.5" hidden="1" thickTop="1" thickBot="1">
      <c r="A17" s="9">
        <v>18</v>
      </c>
      <c r="B17" s="126"/>
      <c r="C17" s="128"/>
      <c r="D17" s="31" t="s">
        <v>253</v>
      </c>
      <c r="E17" s="82" t="s">
        <v>174</v>
      </c>
      <c r="F17" s="104">
        <f>(Link!AA20*1)+(Link!AA21*1)</f>
        <v>0</v>
      </c>
      <c r="G17" s="12"/>
      <c r="H17" s="50"/>
    </row>
    <row r="18" spans="1:8" ht="19.5" hidden="1" thickTop="1" thickBot="1">
      <c r="A18" s="41">
        <v>19</v>
      </c>
      <c r="B18" s="126"/>
      <c r="C18" s="128"/>
      <c r="D18" s="31" t="s">
        <v>254</v>
      </c>
      <c r="E18" s="82" t="s">
        <v>175</v>
      </c>
      <c r="F18" s="104">
        <f>(Link!AA20*1)+(Link!AA21*1)</f>
        <v>0</v>
      </c>
      <c r="G18" s="12"/>
      <c r="H18" s="50"/>
    </row>
    <row r="19" spans="1:8" ht="19.5" hidden="1" thickTop="1" thickBot="1">
      <c r="A19" s="9">
        <v>20</v>
      </c>
      <c r="B19" s="126"/>
      <c r="C19" s="128"/>
      <c r="D19" s="31" t="s">
        <v>255</v>
      </c>
      <c r="E19" s="82" t="s">
        <v>176</v>
      </c>
      <c r="F19" s="104">
        <f>(Link!AA20*1)</f>
        <v>0</v>
      </c>
      <c r="G19" s="12"/>
      <c r="H19" s="50"/>
    </row>
    <row r="20" spans="1:8" ht="19.5" hidden="1" thickTop="1" thickBot="1">
      <c r="A20" s="41">
        <v>21</v>
      </c>
      <c r="B20" s="126"/>
      <c r="C20" s="128"/>
      <c r="D20" s="31" t="s">
        <v>256</v>
      </c>
      <c r="E20" s="82" t="s">
        <v>181</v>
      </c>
      <c r="F20" s="104">
        <f>(Link!AA20*1)</f>
        <v>0</v>
      </c>
      <c r="G20" s="12"/>
      <c r="H20" s="50"/>
    </row>
    <row r="21" spans="1:8" ht="19.5" hidden="1" thickTop="1" thickBot="1">
      <c r="A21" s="9">
        <v>22</v>
      </c>
      <c r="B21" s="126"/>
      <c r="C21" s="128"/>
      <c r="D21" s="31" t="s">
        <v>257</v>
      </c>
      <c r="E21" s="82" t="s">
        <v>182</v>
      </c>
      <c r="F21" s="104">
        <f>((Link!AA20*1)+(Link!AA21*1))*2</f>
        <v>0</v>
      </c>
      <c r="G21" s="12"/>
      <c r="H21" s="50"/>
    </row>
    <row r="22" spans="1:8" ht="19.5" hidden="1" thickTop="1" thickBot="1">
      <c r="A22" s="41">
        <v>23</v>
      </c>
      <c r="B22" s="126"/>
      <c r="C22" s="128"/>
      <c r="D22" s="31" t="s">
        <v>258</v>
      </c>
      <c r="E22" s="82" t="s">
        <v>183</v>
      </c>
      <c r="F22" s="104">
        <f>(Link!AA20*1)+(Link!AA21*1)</f>
        <v>0</v>
      </c>
      <c r="G22" s="12"/>
      <c r="H22" s="50"/>
    </row>
    <row r="23" spans="1:8" ht="19.5" hidden="1" thickTop="1" thickBot="1">
      <c r="A23" s="9">
        <v>24</v>
      </c>
      <c r="B23" s="126"/>
      <c r="C23" s="128"/>
      <c r="D23" s="31" t="s">
        <v>317</v>
      </c>
      <c r="E23" s="82" t="s">
        <v>428</v>
      </c>
      <c r="F23" s="104">
        <f>(Link!AA20*1)</f>
        <v>0</v>
      </c>
      <c r="G23" s="12"/>
      <c r="H23" s="50"/>
    </row>
    <row r="24" spans="1:8" ht="19.5" hidden="1" thickTop="1" thickBot="1">
      <c r="A24" s="41">
        <v>25</v>
      </c>
      <c r="B24" s="126"/>
      <c r="C24" s="128"/>
      <c r="D24" s="31" t="s">
        <v>318</v>
      </c>
      <c r="E24" s="82" t="s">
        <v>430</v>
      </c>
      <c r="F24" s="104">
        <f>(Link!AA21*1)</f>
        <v>0</v>
      </c>
      <c r="G24" s="12"/>
      <c r="H24" s="50"/>
    </row>
    <row r="25" spans="1:8" ht="19.5" hidden="1" thickTop="1" thickBot="1">
      <c r="A25" s="9">
        <v>26</v>
      </c>
      <c r="B25" s="126"/>
      <c r="C25" s="128"/>
      <c r="D25" s="31" t="s">
        <v>319</v>
      </c>
      <c r="E25" s="82" t="s">
        <v>429</v>
      </c>
      <c r="F25" s="104">
        <f>(Link!AA20*1)</f>
        <v>0</v>
      </c>
      <c r="G25" s="12"/>
      <c r="H25" s="50"/>
    </row>
    <row r="26" spans="1:8" ht="19.5" hidden="1" thickTop="1" thickBot="1">
      <c r="A26" s="41">
        <v>27</v>
      </c>
      <c r="B26" s="126"/>
      <c r="C26" s="128"/>
      <c r="D26" s="31" t="s">
        <v>320</v>
      </c>
      <c r="E26" s="82" t="s">
        <v>431</v>
      </c>
      <c r="F26" s="104">
        <f>(Link!AA21*1)</f>
        <v>0</v>
      </c>
      <c r="G26" s="12"/>
      <c r="H26" s="50"/>
    </row>
    <row r="27" spans="1:8" ht="19.5" hidden="1" thickTop="1" thickBot="1">
      <c r="A27" s="9">
        <v>28</v>
      </c>
      <c r="B27" s="126"/>
      <c r="C27" s="128"/>
      <c r="D27" s="31" t="s">
        <v>321</v>
      </c>
      <c r="E27" s="82" t="s">
        <v>177</v>
      </c>
      <c r="F27" s="104">
        <f>(Link!AA20*1)+(Link!AA21*1)</f>
        <v>0</v>
      </c>
      <c r="G27" s="12"/>
      <c r="H27" s="50"/>
    </row>
    <row r="28" spans="1:8" ht="19.5" hidden="1" thickTop="1" thickBot="1">
      <c r="A28" s="41">
        <v>29</v>
      </c>
      <c r="B28" s="126"/>
      <c r="C28" s="128"/>
      <c r="D28" s="31" t="s">
        <v>322</v>
      </c>
      <c r="E28" s="82" t="s">
        <v>432</v>
      </c>
      <c r="F28" s="104">
        <f>(Link!AA20*1)+(Link!AA21*1)</f>
        <v>0</v>
      </c>
      <c r="G28" s="12"/>
      <c r="H28" s="50"/>
    </row>
    <row r="29" spans="1:8" ht="19.5" hidden="1" thickTop="1" thickBot="1">
      <c r="A29" s="9">
        <v>30</v>
      </c>
      <c r="B29" s="126"/>
      <c r="C29" s="128"/>
      <c r="D29" s="31" t="s">
        <v>323</v>
      </c>
      <c r="E29" s="82" t="s">
        <v>433</v>
      </c>
      <c r="F29" s="104">
        <f>(Link!AA20*1)+(Link!AA21*1)</f>
        <v>0</v>
      </c>
      <c r="G29" s="12"/>
      <c r="H29" s="50"/>
    </row>
    <row r="30" spans="1:8" ht="19.5" hidden="1" thickTop="1" thickBot="1">
      <c r="A30" s="41">
        <v>31</v>
      </c>
      <c r="B30" s="126"/>
      <c r="C30" s="128"/>
      <c r="D30" s="31" t="s">
        <v>324</v>
      </c>
      <c r="E30" s="82" t="s">
        <v>434</v>
      </c>
      <c r="F30" s="104">
        <f>(Link!AA20*1)+(Link!AA21*1)</f>
        <v>0</v>
      </c>
      <c r="G30" s="12"/>
      <c r="H30" s="50"/>
    </row>
    <row r="31" spans="1:8" ht="19.5" hidden="1" thickTop="1" thickBot="1">
      <c r="A31" s="9">
        <v>32</v>
      </c>
      <c r="B31" s="126"/>
      <c r="C31" s="128"/>
      <c r="D31" s="31" t="s">
        <v>325</v>
      </c>
      <c r="E31" s="82" t="s">
        <v>178</v>
      </c>
      <c r="F31" s="104">
        <f>(Link!AA20*1)+(Link!AA21*1)</f>
        <v>0</v>
      </c>
      <c r="G31" s="12"/>
      <c r="H31" s="50"/>
    </row>
    <row r="32" spans="1:8" ht="19.5" hidden="1" thickTop="1" thickBot="1">
      <c r="A32" s="41">
        <v>33</v>
      </c>
      <c r="B32" s="126"/>
      <c r="C32" s="128"/>
      <c r="D32" s="40" t="s">
        <v>424</v>
      </c>
      <c r="E32" s="82" t="s">
        <v>425</v>
      </c>
      <c r="F32" s="104">
        <f>Link!AA21</f>
        <v>0</v>
      </c>
      <c r="G32" s="12"/>
      <c r="H32" s="50"/>
    </row>
    <row r="33" spans="1:8" ht="19.5" hidden="1" thickTop="1" thickBot="1">
      <c r="A33" s="9">
        <v>34</v>
      </c>
      <c r="B33" s="126"/>
      <c r="C33" s="128"/>
      <c r="D33" s="31" t="s">
        <v>326</v>
      </c>
      <c r="E33" s="82" t="s">
        <v>426</v>
      </c>
      <c r="F33" s="104">
        <f>(Link!AA20)</f>
        <v>0</v>
      </c>
      <c r="G33" s="12"/>
      <c r="H33" s="50"/>
    </row>
    <row r="34" spans="1:8" ht="19.5" hidden="1" thickTop="1" thickBot="1">
      <c r="A34" s="41">
        <v>35</v>
      </c>
      <c r="B34" s="126"/>
      <c r="C34" s="128"/>
      <c r="D34" s="31" t="s">
        <v>327</v>
      </c>
      <c r="E34" s="82" t="s">
        <v>427</v>
      </c>
      <c r="F34" s="104">
        <f>Link!AA20</f>
        <v>0</v>
      </c>
      <c r="G34" s="12"/>
      <c r="H34" s="50"/>
    </row>
    <row r="35" spans="1:8" ht="19.5" hidden="1" thickTop="1" thickBot="1">
      <c r="A35" s="9">
        <v>36</v>
      </c>
      <c r="B35" s="126"/>
      <c r="C35" s="128"/>
      <c r="D35" s="31" t="s">
        <v>328</v>
      </c>
      <c r="E35" s="82" t="s">
        <v>179</v>
      </c>
      <c r="F35" s="104">
        <f>(Link!AA20*1)+(Link!AA21*1)</f>
        <v>0</v>
      </c>
      <c r="G35" s="12"/>
      <c r="H35" s="50"/>
    </row>
    <row r="36" spans="1:8" ht="19.5" hidden="1" thickTop="1" thickBot="1">
      <c r="A36" s="41">
        <v>37</v>
      </c>
      <c r="B36" s="127"/>
      <c r="C36" s="124"/>
      <c r="D36" s="29" t="s">
        <v>329</v>
      </c>
      <c r="E36" s="83" t="s">
        <v>180</v>
      </c>
      <c r="F36" s="105">
        <f>(Link!AA20*1)+(Link!AA21*1)</f>
        <v>0</v>
      </c>
      <c r="G36" s="13"/>
      <c r="H36" s="47"/>
    </row>
    <row r="37" spans="1:8" ht="19.5" hidden="1" thickTop="1" thickBot="1">
      <c r="A37" s="9">
        <v>38</v>
      </c>
      <c r="B37" s="125" t="s">
        <v>266</v>
      </c>
      <c r="C37" s="123" t="s">
        <v>265</v>
      </c>
      <c r="D37" s="31" t="s">
        <v>330</v>
      </c>
      <c r="E37" s="81" t="s">
        <v>262</v>
      </c>
      <c r="F37" s="103">
        <f>Link!AA23</f>
        <v>0</v>
      </c>
      <c r="G37" s="15"/>
      <c r="H37" s="49"/>
    </row>
    <row r="38" spans="1:8" ht="19.5" hidden="1" thickTop="1" thickBot="1">
      <c r="A38" s="41">
        <v>39</v>
      </c>
      <c r="B38" s="126"/>
      <c r="C38" s="128"/>
      <c r="D38" s="31" t="s">
        <v>331</v>
      </c>
      <c r="E38" s="81" t="s">
        <v>263</v>
      </c>
      <c r="F38" s="103">
        <f>Link!AA24</f>
        <v>0</v>
      </c>
      <c r="G38" s="15"/>
      <c r="H38" s="49"/>
    </row>
    <row r="39" spans="1:8" ht="19.5" hidden="1" thickTop="1" thickBot="1">
      <c r="A39" s="9">
        <v>40</v>
      </c>
      <c r="B39" s="126"/>
      <c r="C39" s="128"/>
      <c r="D39" s="40" t="s">
        <v>435</v>
      </c>
      <c r="E39" s="81" t="s">
        <v>436</v>
      </c>
      <c r="F39" s="103">
        <f>Link!AA22+Link!AA23+Link!AA24</f>
        <v>0</v>
      </c>
      <c r="G39" s="15"/>
      <c r="H39" s="49"/>
    </row>
    <row r="40" spans="1:8" ht="19.5" hidden="1" thickTop="1" thickBot="1">
      <c r="A40" s="41">
        <v>41</v>
      </c>
      <c r="B40" s="126"/>
      <c r="C40" s="128"/>
      <c r="D40" s="31" t="s">
        <v>332</v>
      </c>
      <c r="E40" s="82" t="s">
        <v>187</v>
      </c>
      <c r="F40" s="104">
        <f>Link!AA22+Link!AA23+Link!AA24</f>
        <v>0</v>
      </c>
      <c r="G40" s="12"/>
      <c r="H40" s="50"/>
    </row>
    <row r="41" spans="1:8" ht="19.5" hidden="1" customHeight="1" thickTop="1" thickBot="1">
      <c r="A41" s="9">
        <v>42</v>
      </c>
      <c r="B41" s="126"/>
      <c r="C41" s="128"/>
      <c r="D41" s="31" t="s">
        <v>333</v>
      </c>
      <c r="E41" s="82" t="s">
        <v>188</v>
      </c>
      <c r="F41" s="104">
        <f>Link!AA22+Link!AA23+Link!AA24</f>
        <v>0</v>
      </c>
      <c r="G41" s="12"/>
      <c r="H41" s="50"/>
    </row>
    <row r="42" spans="1:8" ht="19.5" hidden="1" thickTop="1" thickBot="1">
      <c r="A42" s="41">
        <v>43</v>
      </c>
      <c r="B42" s="126"/>
      <c r="C42" s="128"/>
      <c r="D42" s="31" t="s">
        <v>261</v>
      </c>
      <c r="E42" s="82" t="s">
        <v>232</v>
      </c>
      <c r="F42" s="104">
        <f>Link!AA23+Link!AA24</f>
        <v>0</v>
      </c>
      <c r="G42" s="12"/>
      <c r="H42" s="50"/>
    </row>
    <row r="43" spans="1:8" ht="19.5" hidden="1" thickTop="1" thickBot="1">
      <c r="A43" s="9">
        <v>44</v>
      </c>
      <c r="B43" s="127"/>
      <c r="C43" s="124"/>
      <c r="D43" s="29" t="s">
        <v>264</v>
      </c>
      <c r="E43" s="83" t="s">
        <v>189</v>
      </c>
      <c r="F43" s="105">
        <f>Link!AA23+Link!AA24</f>
        <v>0</v>
      </c>
      <c r="G43" s="13"/>
      <c r="H43" s="47"/>
    </row>
    <row r="44" spans="1:8" ht="37.5" hidden="1" thickTop="1" thickBot="1">
      <c r="A44" s="41">
        <v>45</v>
      </c>
      <c r="B44" s="18" t="s">
        <v>234</v>
      </c>
      <c r="C44" s="29" t="s">
        <v>81</v>
      </c>
      <c r="D44" s="23" t="s">
        <v>334</v>
      </c>
      <c r="E44" s="83" t="s">
        <v>230</v>
      </c>
      <c r="F44" s="105">
        <f>Link!AA25</f>
        <v>0</v>
      </c>
      <c r="G44" s="13"/>
      <c r="H44" s="47"/>
    </row>
    <row r="45" spans="1:8" ht="37.5" hidden="1" thickTop="1" thickBot="1">
      <c r="A45" s="9">
        <v>46</v>
      </c>
      <c r="B45" s="18" t="s">
        <v>235</v>
      </c>
      <c r="C45" s="35" t="s">
        <v>6</v>
      </c>
      <c r="D45" s="29" t="s">
        <v>335</v>
      </c>
      <c r="E45" s="80" t="s">
        <v>229</v>
      </c>
      <c r="F45" s="102">
        <f>Link!AA26</f>
        <v>0</v>
      </c>
      <c r="G45" s="9"/>
      <c r="H45" s="48"/>
    </row>
    <row r="46" spans="1:8" ht="37.5" thickTop="1" thickBot="1">
      <c r="A46" s="41">
        <v>47</v>
      </c>
      <c r="B46" s="28" t="s">
        <v>236</v>
      </c>
      <c r="C46" s="23" t="s">
        <v>85</v>
      </c>
      <c r="D46" s="23" t="s">
        <v>85</v>
      </c>
      <c r="E46" s="79" t="s">
        <v>227</v>
      </c>
      <c r="F46" s="101">
        <f>Link!AA28</f>
        <v>1</v>
      </c>
      <c r="G46" s="26"/>
      <c r="H46" s="51"/>
    </row>
    <row r="47" spans="1:8" ht="37.5" hidden="1" thickTop="1" thickBot="1">
      <c r="A47" s="9">
        <v>48</v>
      </c>
      <c r="B47" s="28" t="s">
        <v>237</v>
      </c>
      <c r="C47" s="23" t="s">
        <v>89</v>
      </c>
      <c r="D47" s="23" t="s">
        <v>89</v>
      </c>
      <c r="E47" s="79" t="s">
        <v>228</v>
      </c>
      <c r="F47" s="101">
        <f>Link!AA30</f>
        <v>0</v>
      </c>
      <c r="G47" s="26"/>
      <c r="H47" s="51"/>
    </row>
    <row r="48" spans="1:8" ht="27" customHeight="1" thickTop="1" thickBot="1">
      <c r="A48" s="41">
        <v>49</v>
      </c>
      <c r="B48" s="125" t="s">
        <v>32</v>
      </c>
      <c r="C48" s="123" t="s">
        <v>277</v>
      </c>
      <c r="D48" s="31" t="s">
        <v>339</v>
      </c>
      <c r="E48" s="81" t="s">
        <v>190</v>
      </c>
      <c r="F48" s="103">
        <f>Link!AA31</f>
        <v>1</v>
      </c>
      <c r="G48" s="15"/>
      <c r="H48" s="49"/>
    </row>
    <row r="49" spans="1:8" ht="27" customHeight="1" thickTop="1" thickBot="1">
      <c r="A49" s="9">
        <v>50</v>
      </c>
      <c r="B49" s="126"/>
      <c r="C49" s="124"/>
      <c r="D49" s="29" t="s">
        <v>276</v>
      </c>
      <c r="E49" s="83" t="s">
        <v>226</v>
      </c>
      <c r="F49" s="105">
        <f>Link!AA31</f>
        <v>1</v>
      </c>
      <c r="G49" s="13"/>
      <c r="H49" s="47"/>
    </row>
    <row r="50" spans="1:8" ht="27" hidden="1" customHeight="1" thickTop="1" thickBot="1">
      <c r="A50" s="41">
        <v>51</v>
      </c>
      <c r="B50" s="126"/>
      <c r="C50" s="123" t="s">
        <v>275</v>
      </c>
      <c r="D50" s="31" t="s">
        <v>267</v>
      </c>
      <c r="E50" s="81" t="s">
        <v>191</v>
      </c>
      <c r="F50" s="103">
        <f>Link!AA32</f>
        <v>0</v>
      </c>
      <c r="G50" s="15"/>
      <c r="H50" s="49"/>
    </row>
    <row r="51" spans="1:8" ht="27" customHeight="1" thickTop="1" thickBot="1">
      <c r="A51" s="9">
        <v>52</v>
      </c>
      <c r="B51" s="126"/>
      <c r="C51" s="128"/>
      <c r="D51" s="31" t="s">
        <v>268</v>
      </c>
      <c r="E51" s="82" t="s">
        <v>192</v>
      </c>
      <c r="F51" s="104">
        <f>Link!AA33</f>
        <v>1</v>
      </c>
      <c r="G51" s="12"/>
      <c r="H51" s="50"/>
    </row>
    <row r="52" spans="1:8" ht="27" hidden="1" customHeight="1" thickTop="1" thickBot="1">
      <c r="A52" s="41">
        <v>53</v>
      </c>
      <c r="B52" s="126"/>
      <c r="C52" s="128"/>
      <c r="D52" s="31" t="s">
        <v>269</v>
      </c>
      <c r="E52" s="82" t="s">
        <v>273</v>
      </c>
      <c r="F52" s="104">
        <f>Link!AA32</f>
        <v>0</v>
      </c>
      <c r="G52" s="12"/>
      <c r="H52" s="50"/>
    </row>
    <row r="53" spans="1:8" ht="27" customHeight="1" thickTop="1" thickBot="1">
      <c r="A53" s="9">
        <v>54</v>
      </c>
      <c r="B53" s="126"/>
      <c r="C53" s="128"/>
      <c r="D53" s="31" t="s">
        <v>270</v>
      </c>
      <c r="E53" s="82" t="s">
        <v>274</v>
      </c>
      <c r="F53" s="104">
        <f>Link!AA33</f>
        <v>1</v>
      </c>
      <c r="G53" s="12"/>
      <c r="H53" s="50"/>
    </row>
    <row r="54" spans="1:8" ht="27" hidden="1" customHeight="1" thickTop="1" thickBot="1">
      <c r="A54" s="41">
        <v>55</v>
      </c>
      <c r="B54" s="126"/>
      <c r="C54" s="128"/>
      <c r="D54" s="31" t="s">
        <v>271</v>
      </c>
      <c r="E54" s="82" t="s">
        <v>225</v>
      </c>
      <c r="F54" s="104">
        <f>Link!AA32</f>
        <v>0</v>
      </c>
      <c r="G54" s="12"/>
      <c r="H54" s="50"/>
    </row>
    <row r="55" spans="1:8" ht="27" customHeight="1" thickTop="1" thickBot="1">
      <c r="A55" s="9">
        <v>56</v>
      </c>
      <c r="B55" s="127"/>
      <c r="C55" s="124"/>
      <c r="D55" s="31" t="s">
        <v>272</v>
      </c>
      <c r="E55" s="83" t="s">
        <v>224</v>
      </c>
      <c r="F55" s="105">
        <f>Link!AA33</f>
        <v>1</v>
      </c>
      <c r="G55" s="13"/>
      <c r="H55" s="47"/>
    </row>
    <row r="56" spans="1:8" ht="45.75" hidden="1" customHeight="1" thickTop="1" thickBot="1">
      <c r="A56" s="41">
        <v>57</v>
      </c>
      <c r="B56" s="125" t="s">
        <v>353</v>
      </c>
      <c r="C56" s="123" t="s">
        <v>290</v>
      </c>
      <c r="D56" s="36" t="s">
        <v>340</v>
      </c>
      <c r="E56" s="84" t="s">
        <v>421</v>
      </c>
      <c r="F56" s="106">
        <f>Link!AA36*2</f>
        <v>0</v>
      </c>
      <c r="G56" s="25"/>
      <c r="H56" s="52"/>
    </row>
    <row r="57" spans="1:8" ht="19.5" hidden="1" thickTop="1" thickBot="1">
      <c r="A57" s="9">
        <v>58</v>
      </c>
      <c r="B57" s="126"/>
      <c r="C57" s="128"/>
      <c r="D57" s="31" t="s">
        <v>341</v>
      </c>
      <c r="E57" s="81" t="s">
        <v>422</v>
      </c>
      <c r="F57" s="107">
        <f>Link!AA39*2</f>
        <v>0</v>
      </c>
      <c r="G57" s="42"/>
      <c r="H57" s="53"/>
    </row>
    <row r="58" spans="1:8" ht="19.5" hidden="1" thickTop="1" thickBot="1">
      <c r="A58" s="41">
        <v>59</v>
      </c>
      <c r="B58" s="126"/>
      <c r="C58" s="128"/>
      <c r="D58" s="30" t="s">
        <v>342</v>
      </c>
      <c r="E58" s="82" t="s">
        <v>461</v>
      </c>
      <c r="F58" s="108">
        <f>(Link!AA39*6)+(Link!AA36*8)</f>
        <v>0</v>
      </c>
      <c r="G58" s="11"/>
      <c r="H58" s="54"/>
    </row>
    <row r="59" spans="1:8" ht="19.5" hidden="1" thickTop="1" thickBot="1">
      <c r="A59" s="9">
        <v>60</v>
      </c>
      <c r="B59" s="126"/>
      <c r="C59" s="128"/>
      <c r="D59" s="30" t="s">
        <v>343</v>
      </c>
      <c r="E59" s="82" t="s">
        <v>194</v>
      </c>
      <c r="F59" s="108">
        <f>(Link!AA39*3)+(Link!AA36*4)</f>
        <v>0</v>
      </c>
      <c r="G59" s="11"/>
      <c r="H59" s="54"/>
    </row>
    <row r="60" spans="1:8" ht="19.5" hidden="1" thickTop="1" thickBot="1">
      <c r="A60" s="41">
        <v>61</v>
      </c>
      <c r="B60" s="126"/>
      <c r="C60" s="128"/>
      <c r="D60" s="30" t="s">
        <v>278</v>
      </c>
      <c r="E60" s="82" t="s">
        <v>344</v>
      </c>
      <c r="F60" s="108">
        <f>Link!AA39*2</f>
        <v>0</v>
      </c>
      <c r="G60" s="11"/>
      <c r="H60" s="54"/>
    </row>
    <row r="61" spans="1:8" ht="19.5" hidden="1" thickTop="1" thickBot="1">
      <c r="A61" s="9">
        <v>62</v>
      </c>
      <c r="B61" s="126"/>
      <c r="C61" s="128"/>
      <c r="D61" s="30" t="s">
        <v>279</v>
      </c>
      <c r="E61" s="82" t="s">
        <v>345</v>
      </c>
      <c r="F61" s="108">
        <f>Link!AA36*2</f>
        <v>0</v>
      </c>
      <c r="G61" s="11"/>
      <c r="H61" s="54"/>
    </row>
    <row r="62" spans="1:8" ht="19.5" hidden="1" thickTop="1" thickBot="1">
      <c r="A62" s="41">
        <v>63</v>
      </c>
      <c r="B62" s="126"/>
      <c r="C62" s="128"/>
      <c r="D62" s="30" t="s">
        <v>280</v>
      </c>
      <c r="E62" s="82" t="s">
        <v>346</v>
      </c>
      <c r="F62" s="108">
        <f>Link!AA39*2</f>
        <v>0</v>
      </c>
      <c r="G62" s="11"/>
      <c r="H62" s="54"/>
    </row>
    <row r="63" spans="1:8" ht="19.5" hidden="1" thickTop="1" thickBot="1">
      <c r="A63" s="9">
        <v>64</v>
      </c>
      <c r="B63" s="126"/>
      <c r="C63" s="128"/>
      <c r="D63" s="30" t="s">
        <v>281</v>
      </c>
      <c r="E63" s="82" t="s">
        <v>347</v>
      </c>
      <c r="F63" s="108">
        <f>Link!AA36*2</f>
        <v>0</v>
      </c>
      <c r="G63" s="11"/>
      <c r="H63" s="54"/>
    </row>
    <row r="64" spans="1:8" ht="19.5" hidden="1" thickTop="1" thickBot="1">
      <c r="A64" s="41">
        <v>65</v>
      </c>
      <c r="B64" s="126"/>
      <c r="C64" s="128"/>
      <c r="D64" s="30" t="s">
        <v>282</v>
      </c>
      <c r="E64" s="82" t="s">
        <v>462</v>
      </c>
      <c r="F64" s="108">
        <f>Link!AA39*2</f>
        <v>0</v>
      </c>
      <c r="G64" s="11"/>
      <c r="H64" s="54"/>
    </row>
    <row r="65" spans="1:8" ht="19.5" hidden="1" thickTop="1" thickBot="1">
      <c r="A65" s="9">
        <v>66</v>
      </c>
      <c r="B65" s="126"/>
      <c r="C65" s="128"/>
      <c r="D65" s="30" t="s">
        <v>283</v>
      </c>
      <c r="E65" s="82" t="s">
        <v>463</v>
      </c>
      <c r="F65" s="108">
        <f>Link!AA36*2</f>
        <v>0</v>
      </c>
      <c r="G65" s="11"/>
      <c r="H65" s="54"/>
    </row>
    <row r="66" spans="1:8" ht="19.5" hidden="1" thickTop="1" thickBot="1">
      <c r="A66" s="41">
        <v>67</v>
      </c>
      <c r="B66" s="126"/>
      <c r="C66" s="128"/>
      <c r="D66" s="30" t="s">
        <v>284</v>
      </c>
      <c r="E66" s="82" t="s">
        <v>349</v>
      </c>
      <c r="F66" s="108">
        <f>Link!AA36</f>
        <v>0</v>
      </c>
      <c r="G66" s="11"/>
      <c r="H66" s="54"/>
    </row>
    <row r="67" spans="1:8" ht="19.5" hidden="1" thickTop="1" thickBot="1">
      <c r="A67" s="9">
        <v>68</v>
      </c>
      <c r="B67" s="126"/>
      <c r="C67" s="128"/>
      <c r="D67" s="30" t="s">
        <v>285</v>
      </c>
      <c r="E67" s="82" t="s">
        <v>348</v>
      </c>
      <c r="F67" s="108">
        <f>Link!AA39</f>
        <v>0</v>
      </c>
      <c r="G67" s="11"/>
      <c r="H67" s="54"/>
    </row>
    <row r="68" spans="1:8" ht="19.5" hidden="1" thickTop="1" thickBot="1">
      <c r="A68" s="41">
        <v>69</v>
      </c>
      <c r="B68" s="126"/>
      <c r="C68" s="128"/>
      <c r="D68" s="30" t="s">
        <v>286</v>
      </c>
      <c r="E68" s="82" t="s">
        <v>449</v>
      </c>
      <c r="F68" s="108">
        <f>(Link!AA39+Link!AA36)</f>
        <v>0</v>
      </c>
      <c r="G68" s="11"/>
      <c r="H68" s="54"/>
    </row>
    <row r="69" spans="1:8" ht="19.5" hidden="1" thickTop="1" thickBot="1">
      <c r="A69" s="9">
        <v>70</v>
      </c>
      <c r="B69" s="126"/>
      <c r="C69" s="128"/>
      <c r="D69" s="30" t="s">
        <v>287</v>
      </c>
      <c r="E69" s="82" t="s">
        <v>445</v>
      </c>
      <c r="F69" s="108">
        <f>(Link!AA36*4)</f>
        <v>0</v>
      </c>
      <c r="G69" s="11"/>
      <c r="H69" s="54"/>
    </row>
    <row r="70" spans="1:8" ht="19.5" hidden="1" thickTop="1" thickBot="1">
      <c r="A70" s="41">
        <v>71</v>
      </c>
      <c r="B70" s="126"/>
      <c r="C70" s="128"/>
      <c r="D70" s="30" t="s">
        <v>288</v>
      </c>
      <c r="E70" s="82" t="s">
        <v>446</v>
      </c>
      <c r="F70" s="108">
        <f>(Link!AA36*4)+(Link!AA39*4)</f>
        <v>0</v>
      </c>
      <c r="G70" s="11"/>
      <c r="H70" s="54"/>
    </row>
    <row r="71" spans="1:8" ht="19.5" hidden="1" thickTop="1" thickBot="1">
      <c r="A71" s="9">
        <v>72</v>
      </c>
      <c r="B71" s="126"/>
      <c r="C71" s="128"/>
      <c r="D71" s="30" t="s">
        <v>289</v>
      </c>
      <c r="E71" s="82" t="s">
        <v>447</v>
      </c>
      <c r="F71" s="108">
        <f>(Link!AA36*4)+(Link!AA39*4)</f>
        <v>0</v>
      </c>
      <c r="G71" s="11"/>
      <c r="H71" s="54"/>
    </row>
    <row r="72" spans="1:8" ht="19.5" hidden="1" thickTop="1" thickBot="1">
      <c r="A72" s="41">
        <v>73</v>
      </c>
      <c r="B72" s="126"/>
      <c r="C72" s="128"/>
      <c r="D72" s="30" t="s">
        <v>291</v>
      </c>
      <c r="E72" s="82" t="s">
        <v>448</v>
      </c>
      <c r="F72" s="108">
        <f>(Link!AA36*4)+(Link!AA39*4)</f>
        <v>0</v>
      </c>
      <c r="G72" s="11"/>
      <c r="H72" s="54"/>
    </row>
    <row r="73" spans="1:8" ht="19.5" hidden="1" thickTop="1" thickBot="1">
      <c r="A73" s="9">
        <v>74</v>
      </c>
      <c r="B73" s="126"/>
      <c r="C73" s="128"/>
      <c r="D73" s="30" t="s">
        <v>441</v>
      </c>
      <c r="E73" s="82" t="s">
        <v>437</v>
      </c>
      <c r="F73" s="108">
        <f>(Link!AA36*2)</f>
        <v>0</v>
      </c>
      <c r="G73" s="11"/>
      <c r="H73" s="54"/>
    </row>
    <row r="74" spans="1:8" ht="19.5" hidden="1" thickTop="1" thickBot="1">
      <c r="A74" s="41">
        <v>75</v>
      </c>
      <c r="B74" s="126"/>
      <c r="C74" s="128"/>
      <c r="D74" s="39" t="s">
        <v>442</v>
      </c>
      <c r="E74" s="82" t="s">
        <v>438</v>
      </c>
      <c r="F74" s="108">
        <f>(Link!AA36*2)+(Link!AA39*2)</f>
        <v>0</v>
      </c>
      <c r="G74" s="11"/>
      <c r="H74" s="54"/>
    </row>
    <row r="75" spans="1:8" ht="19.5" hidden="1" thickTop="1" thickBot="1">
      <c r="A75" s="9">
        <v>76</v>
      </c>
      <c r="B75" s="126"/>
      <c r="C75" s="128"/>
      <c r="D75" s="39" t="s">
        <v>443</v>
      </c>
      <c r="E75" s="82" t="s">
        <v>439</v>
      </c>
      <c r="F75" s="108">
        <f>(Link!AA36*2)+(Link!AA39*2)</f>
        <v>0</v>
      </c>
      <c r="G75" s="11"/>
      <c r="H75" s="54"/>
    </row>
    <row r="76" spans="1:8" ht="19.5" hidden="1" thickTop="1" thickBot="1">
      <c r="A76" s="41">
        <v>77</v>
      </c>
      <c r="B76" s="126"/>
      <c r="C76" s="128"/>
      <c r="D76" s="39" t="s">
        <v>444</v>
      </c>
      <c r="E76" s="85" t="s">
        <v>440</v>
      </c>
      <c r="F76" s="109">
        <f>(Link!AA36*2)+(Link!AA39*2)</f>
        <v>0</v>
      </c>
      <c r="G76" s="24"/>
      <c r="H76" s="55"/>
    </row>
    <row r="77" spans="1:8" ht="19.5" hidden="1" thickTop="1" thickBot="1">
      <c r="A77" s="9">
        <v>78</v>
      </c>
      <c r="B77" s="127"/>
      <c r="C77" s="124"/>
      <c r="D77" s="29" t="s">
        <v>352</v>
      </c>
      <c r="E77" s="83" t="s">
        <v>350</v>
      </c>
      <c r="F77" s="110">
        <f>Link!AA36+Link!AA39</f>
        <v>0</v>
      </c>
      <c r="G77" s="10"/>
      <c r="H77" s="56"/>
    </row>
    <row r="78" spans="1:8" ht="19.5" hidden="1" thickTop="1" thickBot="1">
      <c r="A78" s="41">
        <v>79</v>
      </c>
      <c r="B78" s="125" t="s">
        <v>238</v>
      </c>
      <c r="C78" s="123" t="s">
        <v>186</v>
      </c>
      <c r="D78" s="36" t="s">
        <v>354</v>
      </c>
      <c r="E78" s="84" t="s">
        <v>222</v>
      </c>
      <c r="F78" s="111">
        <f>Link!AA41*2</f>
        <v>0</v>
      </c>
      <c r="G78" s="14"/>
      <c r="H78" s="57"/>
    </row>
    <row r="79" spans="1:8" ht="19.5" hidden="1" thickTop="1" thickBot="1">
      <c r="A79" s="9">
        <v>80</v>
      </c>
      <c r="B79" s="126"/>
      <c r="C79" s="128"/>
      <c r="D79" s="30" t="s">
        <v>355</v>
      </c>
      <c r="E79" s="82" t="s">
        <v>193</v>
      </c>
      <c r="F79" s="104">
        <f>Link!AA41</f>
        <v>0</v>
      </c>
      <c r="G79" s="12"/>
      <c r="H79" s="50"/>
    </row>
    <row r="80" spans="1:8" ht="19.5" hidden="1" thickTop="1" thickBot="1">
      <c r="A80" s="41">
        <v>81</v>
      </c>
      <c r="B80" s="127"/>
      <c r="C80" s="124"/>
      <c r="D80" s="29" t="s">
        <v>356</v>
      </c>
      <c r="E80" s="83" t="s">
        <v>223</v>
      </c>
      <c r="F80" s="105">
        <f>Link!AA41</f>
        <v>0</v>
      </c>
      <c r="G80" s="13"/>
      <c r="H80" s="47"/>
    </row>
    <row r="81" spans="1:8" ht="19.5" thickTop="1" thickBot="1">
      <c r="A81" s="9">
        <v>82</v>
      </c>
      <c r="B81" s="125" t="s">
        <v>239</v>
      </c>
      <c r="C81" s="123" t="s">
        <v>8</v>
      </c>
      <c r="D81" s="31" t="s">
        <v>361</v>
      </c>
      <c r="E81" s="84" t="s">
        <v>195</v>
      </c>
      <c r="F81" s="111">
        <f>(Link!AA42+Link!AA43+Link!AA44+Link!AA45+Link!AA46)</f>
        <v>2</v>
      </c>
      <c r="G81" s="14"/>
      <c r="H81" s="57"/>
    </row>
    <row r="82" spans="1:8" ht="19.5" hidden="1" thickTop="1" thickBot="1">
      <c r="A82" s="41">
        <v>83</v>
      </c>
      <c r="B82" s="126"/>
      <c r="C82" s="128"/>
      <c r="D82" s="30" t="s">
        <v>362</v>
      </c>
      <c r="E82" s="81" t="s">
        <v>210</v>
      </c>
      <c r="F82" s="104">
        <f>Link!AA42</f>
        <v>0</v>
      </c>
      <c r="G82" s="12"/>
      <c r="H82" s="50"/>
    </row>
    <row r="83" spans="1:8" ht="19.5" hidden="1" thickTop="1" thickBot="1">
      <c r="A83" s="9">
        <v>84</v>
      </c>
      <c r="B83" s="126"/>
      <c r="C83" s="128"/>
      <c r="D83" s="31" t="s">
        <v>363</v>
      </c>
      <c r="E83" s="81" t="s">
        <v>216</v>
      </c>
      <c r="F83" s="104">
        <f>Link!AA42</f>
        <v>0</v>
      </c>
      <c r="G83" s="12"/>
      <c r="H83" s="50"/>
    </row>
    <row r="84" spans="1:8" ht="19.5" hidden="1" thickTop="1" thickBot="1">
      <c r="A84" s="41">
        <v>85</v>
      </c>
      <c r="B84" s="126"/>
      <c r="C84" s="128"/>
      <c r="D84" s="31" t="s">
        <v>364</v>
      </c>
      <c r="E84" s="81" t="s">
        <v>217</v>
      </c>
      <c r="F84" s="104">
        <f>Link!AA42</f>
        <v>0</v>
      </c>
      <c r="G84" s="12"/>
      <c r="H84" s="50"/>
    </row>
    <row r="85" spans="1:8" ht="19.5" hidden="1" thickTop="1" thickBot="1">
      <c r="A85" s="9">
        <v>86</v>
      </c>
      <c r="B85" s="126"/>
      <c r="C85" s="128"/>
      <c r="D85" s="31" t="s">
        <v>365</v>
      </c>
      <c r="E85" s="82" t="s">
        <v>386</v>
      </c>
      <c r="F85" s="104">
        <f>Link!AA42</f>
        <v>0</v>
      </c>
      <c r="G85" s="12"/>
      <c r="H85" s="50"/>
    </row>
    <row r="86" spans="1:8" ht="19.5" hidden="1" thickTop="1" thickBot="1">
      <c r="A86" s="41">
        <v>87</v>
      </c>
      <c r="B86" s="126"/>
      <c r="C86" s="128"/>
      <c r="D86" s="31" t="s">
        <v>366</v>
      </c>
      <c r="E86" s="82" t="s">
        <v>218</v>
      </c>
      <c r="F86" s="104">
        <f>Link!AA42</f>
        <v>0</v>
      </c>
      <c r="G86" s="12"/>
      <c r="H86" s="50"/>
    </row>
    <row r="87" spans="1:8" ht="19.5" hidden="1" thickTop="1" thickBot="1">
      <c r="A87" s="9">
        <v>88</v>
      </c>
      <c r="B87" s="126"/>
      <c r="C87" s="124"/>
      <c r="D87" s="23" t="s">
        <v>367</v>
      </c>
      <c r="E87" s="83" t="s">
        <v>197</v>
      </c>
      <c r="F87" s="105">
        <f>Link!AA42</f>
        <v>0</v>
      </c>
      <c r="G87" s="13"/>
      <c r="H87" s="47"/>
    </row>
    <row r="88" spans="1:8" ht="19.5" thickTop="1" thickBot="1">
      <c r="A88" s="41">
        <v>89</v>
      </c>
      <c r="B88" s="126"/>
      <c r="C88" s="123" t="s">
        <v>9</v>
      </c>
      <c r="D88" s="31" t="s">
        <v>368</v>
      </c>
      <c r="E88" s="82" t="s">
        <v>211</v>
      </c>
      <c r="F88" s="104">
        <f>Link!AA43</f>
        <v>1</v>
      </c>
      <c r="G88" s="12"/>
      <c r="H88" s="50"/>
    </row>
    <row r="89" spans="1:8" ht="19.5" thickTop="1" thickBot="1">
      <c r="A89" s="9">
        <v>90</v>
      </c>
      <c r="B89" s="126"/>
      <c r="C89" s="128"/>
      <c r="D89" s="31" t="s">
        <v>369</v>
      </c>
      <c r="E89" s="81" t="s">
        <v>216</v>
      </c>
      <c r="F89" s="104">
        <f>Link!AA43</f>
        <v>1</v>
      </c>
      <c r="G89" s="12"/>
      <c r="H89" s="50"/>
    </row>
    <row r="90" spans="1:8" ht="19.5" thickTop="1" thickBot="1">
      <c r="A90" s="41">
        <v>91</v>
      </c>
      <c r="B90" s="126"/>
      <c r="C90" s="128"/>
      <c r="D90" s="31" t="s">
        <v>370</v>
      </c>
      <c r="E90" s="81" t="s">
        <v>217</v>
      </c>
      <c r="F90" s="104">
        <f>Link!AA43</f>
        <v>1</v>
      </c>
      <c r="G90" s="12"/>
      <c r="H90" s="50"/>
    </row>
    <row r="91" spans="1:8" ht="19.5" thickTop="1" thickBot="1">
      <c r="A91" s="9">
        <v>92</v>
      </c>
      <c r="B91" s="126"/>
      <c r="C91" s="128"/>
      <c r="D91" s="31" t="s">
        <v>371</v>
      </c>
      <c r="E91" s="82" t="s">
        <v>384</v>
      </c>
      <c r="F91" s="104">
        <f>Link!AA43</f>
        <v>1</v>
      </c>
      <c r="G91" s="12"/>
      <c r="H91" s="50"/>
    </row>
    <row r="92" spans="1:8" ht="19.5" thickTop="1" thickBot="1">
      <c r="A92" s="41">
        <v>93</v>
      </c>
      <c r="B92" s="126"/>
      <c r="C92" s="128"/>
      <c r="D92" s="31" t="s">
        <v>372</v>
      </c>
      <c r="E92" s="82" t="s">
        <v>196</v>
      </c>
      <c r="F92" s="104">
        <f>Link!AA43</f>
        <v>1</v>
      </c>
      <c r="G92" s="12"/>
      <c r="H92" s="50"/>
    </row>
    <row r="93" spans="1:8" ht="19.5" thickTop="1" thickBot="1">
      <c r="A93" s="9">
        <v>94</v>
      </c>
      <c r="B93" s="126"/>
      <c r="C93" s="124"/>
      <c r="D93" s="29" t="s">
        <v>373</v>
      </c>
      <c r="E93" s="83" t="s">
        <v>199</v>
      </c>
      <c r="F93" s="105">
        <f>Link!AA43</f>
        <v>1</v>
      </c>
      <c r="G93" s="13"/>
      <c r="H93" s="47"/>
    </row>
    <row r="94" spans="1:8" ht="19.5" hidden="1" thickTop="1" thickBot="1">
      <c r="A94" s="41">
        <v>95</v>
      </c>
      <c r="B94" s="126"/>
      <c r="C94" s="123" t="s">
        <v>10</v>
      </c>
      <c r="D94" s="31" t="s">
        <v>374</v>
      </c>
      <c r="E94" s="82" t="s">
        <v>212</v>
      </c>
      <c r="F94" s="104">
        <f>Link!AA45</f>
        <v>0</v>
      </c>
      <c r="G94" s="12"/>
      <c r="H94" s="50"/>
    </row>
    <row r="95" spans="1:8" ht="19.5" hidden="1" thickTop="1" thickBot="1">
      <c r="A95" s="9">
        <v>96</v>
      </c>
      <c r="B95" s="126"/>
      <c r="C95" s="128"/>
      <c r="D95" s="30" t="s">
        <v>375</v>
      </c>
      <c r="E95" s="81" t="s">
        <v>450</v>
      </c>
      <c r="F95" s="104">
        <f>Link!AA45</f>
        <v>0</v>
      </c>
      <c r="G95" s="12"/>
      <c r="H95" s="50"/>
    </row>
    <row r="96" spans="1:8" ht="19.5" hidden="1" thickTop="1" thickBot="1">
      <c r="A96" s="41">
        <v>97</v>
      </c>
      <c r="B96" s="126"/>
      <c r="C96" s="128"/>
      <c r="D96" s="30" t="s">
        <v>376</v>
      </c>
      <c r="E96" s="82" t="s">
        <v>196</v>
      </c>
      <c r="F96" s="104">
        <f>Link!AA45</f>
        <v>0</v>
      </c>
      <c r="G96" s="12"/>
      <c r="H96" s="50"/>
    </row>
    <row r="97" spans="1:8" ht="19.5" hidden="1" thickTop="1" thickBot="1">
      <c r="A97" s="9">
        <v>98</v>
      </c>
      <c r="B97" s="127"/>
      <c r="C97" s="124"/>
      <c r="D97" s="29" t="s">
        <v>377</v>
      </c>
      <c r="E97" s="83" t="s">
        <v>200</v>
      </c>
      <c r="F97" s="105">
        <f>Link!AA45</f>
        <v>0</v>
      </c>
      <c r="G97" s="13"/>
      <c r="H97" s="47"/>
    </row>
    <row r="98" spans="1:8" ht="19.5" thickTop="1" thickBot="1">
      <c r="A98" s="41">
        <v>99</v>
      </c>
      <c r="B98" s="125" t="s">
        <v>239</v>
      </c>
      <c r="C98" s="123" t="s">
        <v>11</v>
      </c>
      <c r="D98" s="31" t="s">
        <v>378</v>
      </c>
      <c r="E98" s="82" t="s">
        <v>213</v>
      </c>
      <c r="F98" s="104">
        <f>Link!AA46</f>
        <v>1</v>
      </c>
      <c r="G98" s="12"/>
      <c r="H98" s="50"/>
    </row>
    <row r="99" spans="1:8" ht="19.5" thickTop="1" thickBot="1">
      <c r="A99" s="9">
        <v>100</v>
      </c>
      <c r="B99" s="126"/>
      <c r="C99" s="128"/>
      <c r="D99" s="30" t="s">
        <v>379</v>
      </c>
      <c r="E99" s="81" t="s">
        <v>216</v>
      </c>
      <c r="F99" s="104">
        <f>Link!AA46</f>
        <v>1</v>
      </c>
      <c r="G99" s="12"/>
      <c r="H99" s="50"/>
    </row>
    <row r="100" spans="1:8" ht="19.5" thickTop="1" thickBot="1">
      <c r="A100" s="41">
        <v>101</v>
      </c>
      <c r="B100" s="126"/>
      <c r="C100" s="128"/>
      <c r="D100" s="30" t="s">
        <v>380</v>
      </c>
      <c r="E100" s="81" t="s">
        <v>217</v>
      </c>
      <c r="F100" s="104">
        <f>Link!AA46</f>
        <v>1</v>
      </c>
      <c r="G100" s="12"/>
      <c r="H100" s="50"/>
    </row>
    <row r="101" spans="1:8" ht="19.5" thickTop="1" thickBot="1">
      <c r="A101" s="9">
        <v>102</v>
      </c>
      <c r="B101" s="126"/>
      <c r="C101" s="128"/>
      <c r="D101" s="30" t="s">
        <v>381</v>
      </c>
      <c r="E101" s="82" t="s">
        <v>385</v>
      </c>
      <c r="F101" s="104">
        <f>Link!AA46</f>
        <v>1</v>
      </c>
      <c r="G101" s="12"/>
      <c r="H101" s="50"/>
    </row>
    <row r="102" spans="1:8" ht="19.5" thickTop="1" thickBot="1">
      <c r="A102" s="41">
        <v>103</v>
      </c>
      <c r="B102" s="126"/>
      <c r="C102" s="128"/>
      <c r="D102" s="30" t="s">
        <v>382</v>
      </c>
      <c r="E102" s="82" t="s">
        <v>196</v>
      </c>
      <c r="F102" s="104">
        <f>Link!AA46</f>
        <v>1</v>
      </c>
      <c r="G102" s="12"/>
      <c r="H102" s="50"/>
    </row>
    <row r="103" spans="1:8" ht="19.5" thickTop="1" thickBot="1">
      <c r="A103" s="9">
        <v>104</v>
      </c>
      <c r="B103" s="127"/>
      <c r="C103" s="124"/>
      <c r="D103" s="29" t="s">
        <v>383</v>
      </c>
      <c r="E103" s="83" t="s">
        <v>201</v>
      </c>
      <c r="F103" s="105">
        <f>Link!AA46</f>
        <v>1</v>
      </c>
      <c r="G103" s="13"/>
      <c r="H103" s="47"/>
    </row>
    <row r="104" spans="1:8" ht="19.5" hidden="1" thickTop="1" thickBot="1">
      <c r="A104" s="41">
        <v>105</v>
      </c>
      <c r="B104" s="125" t="s">
        <v>240</v>
      </c>
      <c r="C104" s="35" t="s">
        <v>12</v>
      </c>
      <c r="D104" s="35" t="s">
        <v>387</v>
      </c>
      <c r="E104" s="80" t="s">
        <v>43</v>
      </c>
      <c r="F104" s="102">
        <f>Link!AA52</f>
        <v>0</v>
      </c>
      <c r="G104" s="9"/>
      <c r="H104" s="48"/>
    </row>
    <row r="105" spans="1:8" ht="19.5" hidden="1" thickTop="1" thickBot="1">
      <c r="A105" s="9">
        <v>106</v>
      </c>
      <c r="B105" s="126"/>
      <c r="C105" s="35" t="s">
        <v>124</v>
      </c>
      <c r="D105" s="35" t="s">
        <v>388</v>
      </c>
      <c r="E105" s="80" t="s">
        <v>125</v>
      </c>
      <c r="F105" s="102">
        <f>Link!AA53</f>
        <v>0</v>
      </c>
      <c r="G105" s="9"/>
      <c r="H105" s="48"/>
    </row>
    <row r="106" spans="1:8" ht="19.5" thickTop="1" thickBot="1">
      <c r="A106" s="41">
        <v>107</v>
      </c>
      <c r="B106" s="126"/>
      <c r="C106" s="123" t="s">
        <v>202</v>
      </c>
      <c r="D106" s="30" t="s">
        <v>389</v>
      </c>
      <c r="E106" s="84" t="s">
        <v>357</v>
      </c>
      <c r="F106" s="111">
        <f>Link!AA54</f>
        <v>2</v>
      </c>
      <c r="G106" s="14"/>
      <c r="H106" s="57"/>
    </row>
    <row r="107" spans="1:8" ht="19.5" thickTop="1" thickBot="1">
      <c r="A107" s="9">
        <v>108</v>
      </c>
      <c r="B107" s="126"/>
      <c r="C107" s="128"/>
      <c r="D107" s="30" t="s">
        <v>390</v>
      </c>
      <c r="E107" s="81" t="s">
        <v>451</v>
      </c>
      <c r="F107" s="103">
        <f>Link!AA54</f>
        <v>2</v>
      </c>
      <c r="G107" s="15"/>
      <c r="H107" s="49"/>
    </row>
    <row r="108" spans="1:8" ht="19.5" thickTop="1" thickBot="1">
      <c r="A108" s="41">
        <v>109</v>
      </c>
      <c r="B108" s="126"/>
      <c r="C108" s="128"/>
      <c r="D108" s="30" t="s">
        <v>391</v>
      </c>
      <c r="E108" s="81" t="s">
        <v>358</v>
      </c>
      <c r="F108" s="103">
        <f>Link!AA54*2</f>
        <v>4</v>
      </c>
      <c r="G108" s="15"/>
      <c r="H108" s="49"/>
    </row>
    <row r="109" spans="1:8" ht="19.5" thickTop="1" thickBot="1">
      <c r="A109" s="9">
        <v>110</v>
      </c>
      <c r="B109" s="126"/>
      <c r="C109" s="128"/>
      <c r="D109" s="30" t="s">
        <v>392</v>
      </c>
      <c r="E109" s="81" t="s">
        <v>359</v>
      </c>
      <c r="F109" s="103">
        <f>Link!AA54</f>
        <v>2</v>
      </c>
      <c r="G109" s="15"/>
      <c r="H109" s="49"/>
    </row>
    <row r="110" spans="1:8" ht="19.5" thickTop="1" thickBot="1">
      <c r="A110" s="41">
        <v>111</v>
      </c>
      <c r="B110" s="126"/>
      <c r="C110" s="124"/>
      <c r="D110" s="29" t="s">
        <v>393</v>
      </c>
      <c r="E110" s="79" t="s">
        <v>360</v>
      </c>
      <c r="F110" s="101">
        <f>Link!AA54*2</f>
        <v>4</v>
      </c>
      <c r="G110" s="26"/>
      <c r="H110" s="51"/>
    </row>
    <row r="111" spans="1:8" ht="30.75" hidden="1" customHeight="1" thickTop="1" thickBot="1">
      <c r="A111" s="9">
        <v>112</v>
      </c>
      <c r="B111" s="135"/>
      <c r="C111" s="123" t="s">
        <v>205</v>
      </c>
      <c r="D111" s="31" t="s">
        <v>394</v>
      </c>
      <c r="E111" s="84" t="s">
        <v>357</v>
      </c>
      <c r="F111" s="111">
        <f>Link!AA55</f>
        <v>0</v>
      </c>
      <c r="G111" s="14"/>
      <c r="H111" s="57"/>
    </row>
    <row r="112" spans="1:8" ht="19.5" hidden="1" thickTop="1" thickBot="1">
      <c r="A112" s="41">
        <v>113</v>
      </c>
      <c r="B112" s="27"/>
      <c r="C112" s="128"/>
      <c r="D112" s="30" t="s">
        <v>395</v>
      </c>
      <c r="E112" s="81" t="s">
        <v>451</v>
      </c>
      <c r="F112" s="103">
        <f>Link!AA55</f>
        <v>0</v>
      </c>
      <c r="G112" s="15"/>
      <c r="H112" s="49"/>
    </row>
    <row r="113" spans="1:8" ht="19.5" hidden="1" thickTop="1" thickBot="1">
      <c r="A113" s="9">
        <v>114</v>
      </c>
      <c r="B113" s="27"/>
      <c r="C113" s="128"/>
      <c r="D113" s="30" t="s">
        <v>396</v>
      </c>
      <c r="E113" s="81" t="s">
        <v>358</v>
      </c>
      <c r="F113" s="103">
        <f>Link!AA55*2</f>
        <v>0</v>
      </c>
      <c r="G113" s="15"/>
      <c r="H113" s="49"/>
    </row>
    <row r="114" spans="1:8" ht="19.5" hidden="1" thickTop="1" thickBot="1">
      <c r="A114" s="41">
        <v>115</v>
      </c>
      <c r="B114" s="27"/>
      <c r="C114" s="128"/>
      <c r="D114" s="30" t="s">
        <v>397</v>
      </c>
      <c r="E114" s="81" t="s">
        <v>359</v>
      </c>
      <c r="F114" s="103">
        <f>Link!AA55</f>
        <v>0</v>
      </c>
      <c r="G114" s="15"/>
      <c r="H114" s="49"/>
    </row>
    <row r="115" spans="1:8" ht="19.5" hidden="1" thickTop="1" thickBot="1">
      <c r="A115" s="9">
        <v>116</v>
      </c>
      <c r="B115" s="28"/>
      <c r="C115" s="124"/>
      <c r="D115" s="30" t="s">
        <v>398</v>
      </c>
      <c r="E115" s="79" t="s">
        <v>360</v>
      </c>
      <c r="F115" s="101">
        <f>Link!AA55*3</f>
        <v>0</v>
      </c>
      <c r="G115" s="26"/>
      <c r="H115" s="51"/>
    </row>
    <row r="116" spans="1:8" ht="19.5" thickTop="1" thickBot="1">
      <c r="A116" s="41">
        <v>117</v>
      </c>
      <c r="B116" s="19"/>
      <c r="C116" s="35" t="s">
        <v>15</v>
      </c>
      <c r="D116" s="35" t="s">
        <v>399</v>
      </c>
      <c r="E116" s="80" t="s">
        <v>220</v>
      </c>
      <c r="F116" s="102">
        <f>Link!AA56</f>
        <v>1</v>
      </c>
      <c r="G116" s="9"/>
      <c r="H116" s="48"/>
    </row>
    <row r="117" spans="1:8" ht="19.5" thickTop="1" thickBot="1">
      <c r="A117" s="9">
        <v>118</v>
      </c>
      <c r="B117" s="20"/>
      <c r="C117" s="123" t="s">
        <v>206</v>
      </c>
      <c r="D117" s="36" t="s">
        <v>400</v>
      </c>
      <c r="E117" s="84" t="s">
        <v>203</v>
      </c>
      <c r="F117" s="111">
        <f>Link!AA57</f>
        <v>1</v>
      </c>
      <c r="G117" s="14"/>
      <c r="H117" s="57"/>
    </row>
    <row r="118" spans="1:8" ht="19.5" thickTop="1" thickBot="1">
      <c r="A118" s="41">
        <v>119</v>
      </c>
      <c r="B118" s="27"/>
      <c r="C118" s="128"/>
      <c r="D118" s="30" t="s">
        <v>401</v>
      </c>
      <c r="E118" s="81" t="s">
        <v>204</v>
      </c>
      <c r="F118" s="103">
        <f>Link!AA57*2</f>
        <v>2</v>
      </c>
      <c r="G118" s="15"/>
      <c r="H118" s="49"/>
    </row>
    <row r="119" spans="1:8" ht="19.5" thickTop="1" thickBot="1">
      <c r="A119" s="9">
        <v>120</v>
      </c>
      <c r="B119" s="28"/>
      <c r="C119" s="124"/>
      <c r="D119" s="29" t="s">
        <v>402</v>
      </c>
      <c r="E119" s="79" t="s">
        <v>452</v>
      </c>
      <c r="F119" s="101">
        <f>Link!AA57</f>
        <v>1</v>
      </c>
      <c r="G119" s="26"/>
      <c r="H119" s="51"/>
    </row>
    <row r="120" spans="1:8" ht="19.5" hidden="1" thickTop="1" thickBot="1">
      <c r="A120" s="41">
        <v>121</v>
      </c>
      <c r="B120" s="20"/>
      <c r="C120" s="123" t="s">
        <v>207</v>
      </c>
      <c r="D120" s="36" t="s">
        <v>403</v>
      </c>
      <c r="E120" s="84" t="s">
        <v>203</v>
      </c>
      <c r="F120" s="111">
        <f>Link!AA58</f>
        <v>0</v>
      </c>
      <c r="G120" s="14"/>
      <c r="H120" s="57"/>
    </row>
    <row r="121" spans="1:8" ht="19.5" hidden="1" thickTop="1" thickBot="1">
      <c r="A121" s="9">
        <v>122</v>
      </c>
      <c r="B121" s="27"/>
      <c r="C121" s="128"/>
      <c r="D121" s="30" t="s">
        <v>404</v>
      </c>
      <c r="E121" s="81" t="s">
        <v>204</v>
      </c>
      <c r="F121" s="103">
        <f>Link!AA58*2</f>
        <v>0</v>
      </c>
      <c r="G121" s="15"/>
      <c r="H121" s="49"/>
    </row>
    <row r="122" spans="1:8" ht="19.5" hidden="1" thickTop="1" thickBot="1">
      <c r="A122" s="41">
        <v>123</v>
      </c>
      <c r="B122" s="27"/>
      <c r="C122" s="128"/>
      <c r="D122" s="30" t="s">
        <v>405</v>
      </c>
      <c r="E122" s="81" t="s">
        <v>452</v>
      </c>
      <c r="F122" s="103">
        <f>Link!AA58*2</f>
        <v>0</v>
      </c>
      <c r="G122" s="15"/>
      <c r="H122" s="49"/>
    </row>
    <row r="123" spans="1:8" ht="19.5" hidden="1" thickTop="1" thickBot="1">
      <c r="A123" s="9">
        <v>124</v>
      </c>
      <c r="B123" s="28"/>
      <c r="C123" s="124"/>
      <c r="D123" s="30" t="s">
        <v>406</v>
      </c>
      <c r="E123" s="79" t="s">
        <v>453</v>
      </c>
      <c r="F123" s="101">
        <f>Link!AA58</f>
        <v>0</v>
      </c>
      <c r="G123" s="26"/>
      <c r="H123" s="51"/>
    </row>
    <row r="124" spans="1:8" ht="19.5" hidden="1" thickTop="1" thickBot="1">
      <c r="A124" s="41">
        <v>125</v>
      </c>
      <c r="B124" s="20"/>
      <c r="C124" s="93" t="s">
        <v>17</v>
      </c>
      <c r="D124" s="36" t="s">
        <v>407</v>
      </c>
      <c r="E124" s="84" t="s">
        <v>505</v>
      </c>
      <c r="F124" s="111">
        <f>Link!AA59</f>
        <v>0</v>
      </c>
      <c r="G124" s="14"/>
      <c r="H124" s="57"/>
    </row>
    <row r="125" spans="1:8" ht="19.5" hidden="1" thickTop="1" thickBot="1">
      <c r="A125" s="9">
        <v>126</v>
      </c>
      <c r="B125" s="20"/>
      <c r="C125" s="93" t="s">
        <v>128</v>
      </c>
      <c r="D125" s="36" t="s">
        <v>408</v>
      </c>
      <c r="E125" s="84" t="s">
        <v>506</v>
      </c>
      <c r="F125" s="111">
        <f>Link!AA60</f>
        <v>0</v>
      </c>
      <c r="G125" s="14"/>
      <c r="H125" s="57"/>
    </row>
    <row r="126" spans="1:8" ht="19.5" thickTop="1" thickBot="1">
      <c r="A126" s="41">
        <v>127</v>
      </c>
      <c r="B126" s="20"/>
      <c r="C126" s="93" t="s">
        <v>18</v>
      </c>
      <c r="D126" s="36" t="s">
        <v>409</v>
      </c>
      <c r="E126" s="84" t="s">
        <v>507</v>
      </c>
      <c r="F126" s="111">
        <f>Link!AA61</f>
        <v>1</v>
      </c>
      <c r="G126" s="14"/>
      <c r="H126" s="57"/>
    </row>
    <row r="127" spans="1:8" ht="19.5" hidden="1" thickTop="1" thickBot="1">
      <c r="A127" s="9">
        <v>128</v>
      </c>
      <c r="B127" s="20"/>
      <c r="C127" s="93" t="s">
        <v>19</v>
      </c>
      <c r="D127" s="36" t="s">
        <v>410</v>
      </c>
      <c r="E127" s="84" t="s">
        <v>508</v>
      </c>
      <c r="F127" s="111">
        <f>Link!AA62</f>
        <v>0</v>
      </c>
      <c r="G127" s="14"/>
      <c r="H127" s="57"/>
    </row>
    <row r="128" spans="1:8" ht="19.5" thickTop="1" thickBot="1">
      <c r="A128" s="41">
        <v>129</v>
      </c>
      <c r="B128" s="19"/>
      <c r="C128" s="35" t="s">
        <v>20</v>
      </c>
      <c r="D128" s="35" t="s">
        <v>411</v>
      </c>
      <c r="E128" s="80" t="s">
        <v>129</v>
      </c>
      <c r="F128" s="102">
        <f>Link!AA63</f>
        <v>3</v>
      </c>
      <c r="G128" s="9"/>
      <c r="H128" s="48"/>
    </row>
    <row r="129" spans="1:8" ht="19.5" thickTop="1" thickBot="1">
      <c r="A129" s="9">
        <v>130</v>
      </c>
      <c r="B129" s="20"/>
      <c r="C129" s="123" t="s">
        <v>130</v>
      </c>
      <c r="D129" s="36" t="s">
        <v>412</v>
      </c>
      <c r="E129" s="84" t="s">
        <v>131</v>
      </c>
      <c r="F129" s="111">
        <f>Link!AA64</f>
        <v>1</v>
      </c>
      <c r="G129" s="14"/>
      <c r="H129" s="57"/>
    </row>
    <row r="130" spans="1:8" ht="19.5" thickTop="1" thickBot="1">
      <c r="A130" s="41">
        <v>131</v>
      </c>
      <c r="B130" s="18"/>
      <c r="C130" s="124"/>
      <c r="D130" s="29" t="s">
        <v>413</v>
      </c>
      <c r="E130" s="83" t="s">
        <v>464</v>
      </c>
      <c r="F130" s="105">
        <f>Link!AA64</f>
        <v>1</v>
      </c>
      <c r="G130" s="13"/>
      <c r="H130" s="47"/>
    </row>
    <row r="131" spans="1:8" ht="30.75" hidden="1" customHeight="1" thickTop="1" thickBot="1">
      <c r="A131" s="9">
        <v>132</v>
      </c>
      <c r="B131" s="125" t="s">
        <v>49</v>
      </c>
      <c r="C131" s="123" t="s">
        <v>209</v>
      </c>
      <c r="D131" s="36" t="s">
        <v>414</v>
      </c>
      <c r="E131" s="84" t="s">
        <v>454</v>
      </c>
      <c r="F131" s="111">
        <f>Link!AA73</f>
        <v>0</v>
      </c>
      <c r="G131" s="14"/>
      <c r="H131" s="57"/>
    </row>
    <row r="132" spans="1:8" ht="19.5" hidden="1" thickTop="1" thickBot="1">
      <c r="A132" s="41">
        <v>133</v>
      </c>
      <c r="B132" s="126"/>
      <c r="C132" s="124"/>
      <c r="D132" s="29" t="s">
        <v>415</v>
      </c>
      <c r="E132" s="79" t="s">
        <v>455</v>
      </c>
      <c r="F132" s="101">
        <f>Link!AA73*2</f>
        <v>0</v>
      </c>
      <c r="G132" s="26"/>
      <c r="H132" s="51"/>
    </row>
    <row r="133" spans="1:8" ht="30.75" customHeight="1" thickTop="1" thickBot="1">
      <c r="A133" s="9">
        <v>134</v>
      </c>
      <c r="B133" s="126"/>
      <c r="C133" s="123" t="s">
        <v>208</v>
      </c>
      <c r="D133" s="36" t="s">
        <v>416</v>
      </c>
      <c r="E133" s="84" t="s">
        <v>456</v>
      </c>
      <c r="F133" s="111">
        <f>Link!AA74</f>
        <v>1</v>
      </c>
      <c r="G133" s="14"/>
      <c r="H133" s="57"/>
    </row>
    <row r="134" spans="1:8" ht="19.5" thickTop="1" thickBot="1">
      <c r="A134" s="41">
        <v>135</v>
      </c>
      <c r="B134" s="127"/>
      <c r="C134" s="124"/>
      <c r="D134" s="29" t="s">
        <v>417</v>
      </c>
      <c r="E134" s="83" t="s">
        <v>457</v>
      </c>
      <c r="F134" s="105">
        <f>Link!AA74*2</f>
        <v>2</v>
      </c>
      <c r="G134" s="13"/>
      <c r="H134" s="47"/>
    </row>
    <row r="135" spans="1:8" ht="19.5" thickTop="1" thickBot="1">
      <c r="A135" s="9">
        <v>136</v>
      </c>
      <c r="B135" s="125" t="s">
        <v>423</v>
      </c>
      <c r="C135" s="35" t="s">
        <v>24</v>
      </c>
      <c r="D135" s="35" t="s">
        <v>418</v>
      </c>
      <c r="E135" s="80" t="s">
        <v>215</v>
      </c>
      <c r="F135" s="102">
        <f>Link!AA80*4</f>
        <v>8</v>
      </c>
      <c r="G135" s="9"/>
      <c r="H135" s="48"/>
    </row>
    <row r="136" spans="1:8" ht="19.5" thickTop="1" thickBot="1">
      <c r="A136" s="41">
        <v>137</v>
      </c>
      <c r="B136" s="127"/>
      <c r="C136" s="35" t="s">
        <v>26</v>
      </c>
      <c r="D136" s="35" t="s">
        <v>419</v>
      </c>
      <c r="E136" s="80" t="s">
        <v>214</v>
      </c>
      <c r="F136" s="102">
        <f>Link!AA81</f>
        <v>2</v>
      </c>
      <c r="G136" s="9"/>
      <c r="H136" s="48"/>
    </row>
    <row r="137" spans="1:8" ht="19.5" thickTop="1" thickBot="1">
      <c r="A137" s="9">
        <v>138</v>
      </c>
      <c r="B137" s="28" t="s">
        <v>159</v>
      </c>
      <c r="C137" s="23" t="s">
        <v>184</v>
      </c>
      <c r="D137" s="23" t="s">
        <v>420</v>
      </c>
      <c r="E137" s="79" t="s">
        <v>467</v>
      </c>
      <c r="F137" s="101">
        <f>Link!AA89</f>
        <v>6</v>
      </c>
      <c r="G137" s="26"/>
      <c r="H137" s="51"/>
    </row>
    <row r="138" spans="1:8" ht="19.5" thickTop="1" thickBot="1">
      <c r="A138" s="41">
        <v>139</v>
      </c>
      <c r="B138" s="21"/>
      <c r="C138" s="37" t="s">
        <v>198</v>
      </c>
      <c r="D138" s="37" t="s">
        <v>361</v>
      </c>
      <c r="E138" s="86"/>
      <c r="F138" s="101">
        <f>Link!AA88</f>
        <v>1</v>
      </c>
      <c r="G138" s="25"/>
      <c r="H138" s="52"/>
    </row>
    <row r="139" spans="1:8" ht="25.5" customHeight="1" thickTop="1" thickBot="1">
      <c r="A139" s="9">
        <v>140</v>
      </c>
      <c r="B139" s="21"/>
      <c r="C139" s="37" t="s">
        <v>219</v>
      </c>
      <c r="D139" s="37"/>
      <c r="E139" s="86" t="s">
        <v>466</v>
      </c>
      <c r="F139" s="101">
        <f>Link!AA90</f>
        <v>8</v>
      </c>
      <c r="G139" s="25"/>
      <c r="H139" s="52"/>
    </row>
    <row r="140" spans="1:8" ht="19.5" thickTop="1" thickBot="1">
      <c r="A140" s="41">
        <v>141</v>
      </c>
      <c r="B140" s="21"/>
      <c r="C140" s="37" t="s">
        <v>221</v>
      </c>
      <c r="D140" s="37"/>
      <c r="E140" s="86" t="s">
        <v>465</v>
      </c>
      <c r="F140" s="106">
        <f>(F129*2)+1</f>
        <v>3</v>
      </c>
      <c r="G140" s="25"/>
      <c r="H140" s="52"/>
    </row>
    <row r="141" spans="1:8" ht="19.5" thickTop="1" thickBot="1">
      <c r="A141" s="9">
        <v>142</v>
      </c>
      <c r="B141" s="21"/>
      <c r="C141" s="37"/>
      <c r="D141" s="37"/>
      <c r="E141" s="86"/>
      <c r="F141" s="106"/>
      <c r="G141" s="25"/>
      <c r="H141" s="52"/>
    </row>
    <row r="142" spans="1:8" ht="22.5" thickTop="1" thickBot="1">
      <c r="A142" s="129" t="s">
        <v>160</v>
      </c>
      <c r="B142" s="130"/>
      <c r="C142" s="130"/>
      <c r="D142" s="130"/>
      <c r="E142" s="131"/>
      <c r="F142" s="112">
        <f>SUM(F2:F141)</f>
        <v>79</v>
      </c>
      <c r="G142" s="58"/>
      <c r="H142" s="59"/>
    </row>
  </sheetData>
  <autoFilter ref="A1:H142">
    <filterColumn colId="5">
      <customFilters>
        <customFilter operator="notEqual" val="0"/>
      </customFilters>
    </filterColumn>
  </autoFilter>
  <mergeCells count="31">
    <mergeCell ref="A142:E142"/>
    <mergeCell ref="C4:C7"/>
    <mergeCell ref="C8:C10"/>
    <mergeCell ref="B98:B103"/>
    <mergeCell ref="B104:B111"/>
    <mergeCell ref="B81:B97"/>
    <mergeCell ref="B48:B55"/>
    <mergeCell ref="B37:B43"/>
    <mergeCell ref="B15:B36"/>
    <mergeCell ref="C15:C36"/>
    <mergeCell ref="B2:B14"/>
    <mergeCell ref="C56:C77"/>
    <mergeCell ref="B56:B77"/>
    <mergeCell ref="C37:C43"/>
    <mergeCell ref="C48:C49"/>
    <mergeCell ref="C50:C55"/>
    <mergeCell ref="B78:B80"/>
    <mergeCell ref="C78:C80"/>
    <mergeCell ref="C81:C87"/>
    <mergeCell ref="C88:C93"/>
    <mergeCell ref="C94:C97"/>
    <mergeCell ref="C98:C103"/>
    <mergeCell ref="C106:C110"/>
    <mergeCell ref="C111:C115"/>
    <mergeCell ref="C117:C119"/>
    <mergeCell ref="C120:C123"/>
    <mergeCell ref="C131:C132"/>
    <mergeCell ref="C133:C134"/>
    <mergeCell ref="B131:B134"/>
    <mergeCell ref="B135:B136"/>
    <mergeCell ref="C129:C130"/>
  </mergeCells>
  <pageMargins left="0.625" right="0.57291666666666663" top="0.70833333333333337" bottom="0.5" header="0.31496062992125984" footer="0.31496062992125984"/>
  <pageSetup paperSize="9" orientation="landscape" r:id="rId1"/>
  <headerFooter>
    <oddHeader>&amp;L&amp;"B Zar,Bold"&amp;14&amp;Pاز&amp;N&amp;C&amp;"B Zar,Bold"&amp;18چک لیست ارسال&amp;Rفروشگاه : رشت- رودسر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G98"/>
  <sheetViews>
    <sheetView rightToLeft="1" topLeftCell="A46" workbookViewId="0">
      <selection activeCell="E57" sqref="E57"/>
    </sheetView>
  </sheetViews>
  <sheetFormatPr defaultColWidth="9.140625" defaultRowHeight="15"/>
  <cols>
    <col min="1" max="1" width="8.5703125" style="73" bestFit="1" customWidth="1"/>
    <col min="2" max="2" width="13" style="73" bestFit="1" customWidth="1"/>
    <col min="3" max="3" width="10.7109375" style="73" bestFit="1" customWidth="1"/>
    <col min="4" max="4" width="32.42578125" style="73" bestFit="1" customWidth="1"/>
    <col min="5" max="5" width="9.42578125" style="73" bestFit="1" customWidth="1"/>
    <col min="6" max="6" width="14.42578125" style="74" bestFit="1" customWidth="1"/>
    <col min="7" max="7" width="13.42578125" style="74" bestFit="1" customWidth="1"/>
    <col min="8" max="8" width="9.140625" style="66"/>
    <col min="9" max="9" width="9.7109375" style="66" bestFit="1" customWidth="1"/>
    <col min="10" max="10" width="1.85546875" style="66" bestFit="1" customWidth="1"/>
    <col min="11" max="11" width="7" style="66" bestFit="1" customWidth="1"/>
    <col min="12" max="12" width="9.42578125" style="66" bestFit="1" customWidth="1"/>
    <col min="13" max="13" width="6.42578125" style="66" bestFit="1" customWidth="1"/>
    <col min="14" max="14" width="10.85546875" style="66" bestFit="1" customWidth="1"/>
    <col min="15" max="16384" width="9.140625" style="66"/>
  </cols>
  <sheetData>
    <row r="1" spans="1:7" s="77" customFormat="1" ht="31.5">
      <c r="A1" s="75" t="s">
        <v>0</v>
      </c>
      <c r="B1" s="75" t="s">
        <v>52</v>
      </c>
      <c r="C1" s="75" t="s">
        <v>53</v>
      </c>
      <c r="D1" s="75" t="s">
        <v>54</v>
      </c>
      <c r="E1" s="75" t="s">
        <v>166</v>
      </c>
      <c r="F1" s="76" t="s">
        <v>469</v>
      </c>
      <c r="G1" s="76" t="s">
        <v>470</v>
      </c>
    </row>
    <row r="2" spans="1:7" ht="18" hidden="1">
      <c r="A2" s="67">
        <v>1</v>
      </c>
      <c r="B2" s="143" t="s">
        <v>55</v>
      </c>
      <c r="C2" s="67" t="s">
        <v>3</v>
      </c>
      <c r="D2" s="67" t="s">
        <v>33</v>
      </c>
      <c r="E2" s="67">
        <f>Link!AA2</f>
        <v>0</v>
      </c>
      <c r="F2" s="68">
        <v>9100000</v>
      </c>
      <c r="G2" s="68">
        <f>E2*F2</f>
        <v>0</v>
      </c>
    </row>
    <row r="3" spans="1:7" ht="18" hidden="1" customHeight="1">
      <c r="A3" s="67">
        <v>2</v>
      </c>
      <c r="B3" s="143"/>
      <c r="C3" s="67" t="s">
        <v>2</v>
      </c>
      <c r="D3" s="67" t="s">
        <v>33</v>
      </c>
      <c r="E3" s="67">
        <f>Link!AA3</f>
        <v>0</v>
      </c>
      <c r="F3" s="68">
        <v>8900000</v>
      </c>
      <c r="G3" s="68">
        <f t="shared" ref="G3:G66" si="0">E3*F3</f>
        <v>0</v>
      </c>
    </row>
    <row r="4" spans="1:7" ht="18" hidden="1" customHeight="1">
      <c r="A4" s="67">
        <v>3</v>
      </c>
      <c r="B4" s="143"/>
      <c r="C4" s="67" t="s">
        <v>34</v>
      </c>
      <c r="D4" s="67" t="s">
        <v>56</v>
      </c>
      <c r="E4" s="67">
        <f>Link!AA4</f>
        <v>0</v>
      </c>
      <c r="F4" s="68">
        <v>41500000</v>
      </c>
      <c r="G4" s="68">
        <f t="shared" si="0"/>
        <v>0</v>
      </c>
    </row>
    <row r="5" spans="1:7" ht="18" hidden="1" customHeight="1">
      <c r="A5" s="67">
        <v>4</v>
      </c>
      <c r="B5" s="143"/>
      <c r="C5" s="67" t="s">
        <v>57</v>
      </c>
      <c r="D5" s="67" t="s">
        <v>56</v>
      </c>
      <c r="E5" s="67">
        <f>Link!AA5</f>
        <v>0</v>
      </c>
      <c r="F5" s="68">
        <v>38000000</v>
      </c>
      <c r="G5" s="68">
        <f t="shared" si="0"/>
        <v>0</v>
      </c>
    </row>
    <row r="6" spans="1:7" ht="18.75" hidden="1" customHeight="1">
      <c r="A6" s="67">
        <v>5</v>
      </c>
      <c r="B6" s="143"/>
      <c r="C6" s="67" t="s">
        <v>58</v>
      </c>
      <c r="D6" s="67" t="s">
        <v>56</v>
      </c>
      <c r="E6" s="67">
        <f>Link!AA6</f>
        <v>0</v>
      </c>
      <c r="F6" s="68">
        <v>34500000</v>
      </c>
      <c r="G6" s="68">
        <f t="shared" si="0"/>
        <v>0</v>
      </c>
    </row>
    <row r="7" spans="1:7" ht="18" hidden="1" customHeight="1">
      <c r="A7" s="67">
        <v>6</v>
      </c>
      <c r="B7" s="143"/>
      <c r="C7" s="67" t="s">
        <v>59</v>
      </c>
      <c r="D7" s="67" t="s">
        <v>56</v>
      </c>
      <c r="E7" s="67">
        <f>Link!AA7</f>
        <v>0</v>
      </c>
      <c r="F7" s="68">
        <v>38000000</v>
      </c>
      <c r="G7" s="68">
        <f t="shared" si="0"/>
        <v>0</v>
      </c>
    </row>
    <row r="8" spans="1:7" ht="18" hidden="1" customHeight="1">
      <c r="A8" s="67">
        <v>7</v>
      </c>
      <c r="B8" s="143"/>
      <c r="C8" s="67" t="s">
        <v>60</v>
      </c>
      <c r="D8" s="67" t="s">
        <v>56</v>
      </c>
      <c r="E8" s="67">
        <f>Link!AA8</f>
        <v>0</v>
      </c>
      <c r="F8" s="68">
        <v>35000000</v>
      </c>
      <c r="G8" s="68">
        <f t="shared" si="0"/>
        <v>0</v>
      </c>
    </row>
    <row r="9" spans="1:7" ht="18.75" hidden="1" customHeight="1">
      <c r="A9" s="67">
        <v>8</v>
      </c>
      <c r="B9" s="143"/>
      <c r="C9" s="67" t="s">
        <v>61</v>
      </c>
      <c r="D9" s="67" t="s">
        <v>56</v>
      </c>
      <c r="E9" s="67">
        <f>Link!AA9</f>
        <v>0</v>
      </c>
      <c r="F9" s="68">
        <v>31500000</v>
      </c>
      <c r="G9" s="68">
        <f t="shared" si="0"/>
        <v>0</v>
      </c>
    </row>
    <row r="10" spans="1:7" ht="18" hidden="1" customHeight="1">
      <c r="A10" s="67">
        <v>9</v>
      </c>
      <c r="B10" s="143"/>
      <c r="C10" s="67" t="s">
        <v>35</v>
      </c>
      <c r="D10" s="67" t="s">
        <v>56</v>
      </c>
      <c r="E10" s="67">
        <f>Link!AA10</f>
        <v>0</v>
      </c>
      <c r="F10" s="68">
        <v>34500000</v>
      </c>
      <c r="G10" s="68">
        <f t="shared" si="0"/>
        <v>0</v>
      </c>
    </row>
    <row r="11" spans="1:7" ht="18" hidden="1">
      <c r="A11" s="67">
        <v>10</v>
      </c>
      <c r="B11" s="143"/>
      <c r="C11" s="67" t="s">
        <v>62</v>
      </c>
      <c r="D11" s="67" t="s">
        <v>56</v>
      </c>
      <c r="E11" s="67">
        <f>Link!AA11</f>
        <v>0</v>
      </c>
      <c r="F11" s="68">
        <v>31500000</v>
      </c>
      <c r="G11" s="68">
        <f t="shared" si="0"/>
        <v>0</v>
      </c>
    </row>
    <row r="12" spans="1:7" ht="18" hidden="1">
      <c r="A12" s="67">
        <v>11</v>
      </c>
      <c r="B12" s="143"/>
      <c r="C12" s="67" t="s">
        <v>63</v>
      </c>
      <c r="D12" s="67" t="s">
        <v>56</v>
      </c>
      <c r="E12" s="67">
        <f>Link!AA12</f>
        <v>0</v>
      </c>
      <c r="F12" s="68">
        <v>28000000</v>
      </c>
      <c r="G12" s="68">
        <f t="shared" si="0"/>
        <v>0</v>
      </c>
    </row>
    <row r="13" spans="1:7" ht="18" hidden="1" customHeight="1">
      <c r="A13" s="67">
        <v>12</v>
      </c>
      <c r="B13" s="143"/>
      <c r="C13" s="67" t="s">
        <v>64</v>
      </c>
      <c r="D13" s="67" t="s">
        <v>56</v>
      </c>
      <c r="E13" s="67">
        <f>Link!AA13</f>
        <v>0</v>
      </c>
      <c r="F13" s="68">
        <v>28000000</v>
      </c>
      <c r="G13" s="68">
        <f t="shared" si="0"/>
        <v>0</v>
      </c>
    </row>
    <row r="14" spans="1:7" ht="18" hidden="1" customHeight="1">
      <c r="A14" s="67">
        <v>13</v>
      </c>
      <c r="B14" s="143"/>
      <c r="C14" s="67" t="s">
        <v>65</v>
      </c>
      <c r="D14" s="67" t="s">
        <v>56</v>
      </c>
      <c r="E14" s="67">
        <f>Link!AA14</f>
        <v>0</v>
      </c>
      <c r="F14" s="68">
        <v>24500000</v>
      </c>
      <c r="G14" s="68">
        <f t="shared" si="0"/>
        <v>0</v>
      </c>
    </row>
    <row r="15" spans="1:7" ht="18.75" customHeight="1">
      <c r="A15" s="67">
        <v>14</v>
      </c>
      <c r="B15" s="143"/>
      <c r="C15" s="67" t="s">
        <v>66</v>
      </c>
      <c r="D15" s="67" t="s">
        <v>56</v>
      </c>
      <c r="E15" s="67">
        <f>Link!AA15</f>
        <v>1</v>
      </c>
      <c r="F15" s="68">
        <v>21000000</v>
      </c>
      <c r="G15" s="68">
        <f t="shared" si="0"/>
        <v>21000000</v>
      </c>
    </row>
    <row r="16" spans="1:7" ht="18" hidden="1">
      <c r="A16" s="67">
        <v>15</v>
      </c>
      <c r="B16" s="143"/>
      <c r="C16" s="67" t="s">
        <v>67</v>
      </c>
      <c r="D16" s="67" t="s">
        <v>69</v>
      </c>
      <c r="E16" s="67">
        <f>Link!AA16</f>
        <v>0</v>
      </c>
      <c r="F16" s="68">
        <v>28500000</v>
      </c>
      <c r="G16" s="68">
        <f t="shared" si="0"/>
        <v>0</v>
      </c>
    </row>
    <row r="17" spans="1:7" ht="18" hidden="1">
      <c r="A17" s="67">
        <v>16</v>
      </c>
      <c r="B17" s="143"/>
      <c r="C17" s="67" t="s">
        <v>4</v>
      </c>
      <c r="D17" s="67" t="s">
        <v>68</v>
      </c>
      <c r="E17" s="67">
        <f>Link!AA17</f>
        <v>0</v>
      </c>
      <c r="F17" s="68">
        <v>21000000</v>
      </c>
      <c r="G17" s="68">
        <f t="shared" si="0"/>
        <v>0</v>
      </c>
    </row>
    <row r="18" spans="1:7" ht="18" hidden="1" customHeight="1">
      <c r="A18" s="67">
        <v>17</v>
      </c>
      <c r="B18" s="143"/>
      <c r="C18" s="67" t="s">
        <v>1</v>
      </c>
      <c r="D18" s="67" t="s">
        <v>70</v>
      </c>
      <c r="E18" s="67">
        <f>Link!AA18</f>
        <v>0</v>
      </c>
      <c r="F18" s="68">
        <v>39500000</v>
      </c>
      <c r="G18" s="68">
        <f t="shared" si="0"/>
        <v>0</v>
      </c>
    </row>
    <row r="19" spans="1:7" ht="18" hidden="1" customHeight="1">
      <c r="A19" s="67">
        <v>18</v>
      </c>
      <c r="B19" s="143" t="s">
        <v>36</v>
      </c>
      <c r="C19" s="67" t="s">
        <v>76</v>
      </c>
      <c r="D19" s="67" t="s">
        <v>72</v>
      </c>
      <c r="E19" s="67">
        <f>Link!AA19</f>
        <v>0</v>
      </c>
      <c r="F19" s="68">
        <v>425000000</v>
      </c>
      <c r="G19" s="68">
        <f t="shared" si="0"/>
        <v>0</v>
      </c>
    </row>
    <row r="20" spans="1:7" ht="18" hidden="1" customHeight="1">
      <c r="A20" s="67">
        <v>19</v>
      </c>
      <c r="B20" s="143"/>
      <c r="C20" s="67" t="s">
        <v>5</v>
      </c>
      <c r="D20" s="67" t="s">
        <v>73</v>
      </c>
      <c r="E20" s="67">
        <f>Link!AA20</f>
        <v>0</v>
      </c>
      <c r="F20" s="68">
        <v>285000000</v>
      </c>
      <c r="G20" s="68">
        <f t="shared" si="0"/>
        <v>0</v>
      </c>
    </row>
    <row r="21" spans="1:7" ht="18.75" hidden="1" customHeight="1">
      <c r="A21" s="67">
        <v>20</v>
      </c>
      <c r="B21" s="143"/>
      <c r="C21" s="67" t="s">
        <v>79</v>
      </c>
      <c r="D21" s="67" t="s">
        <v>75</v>
      </c>
      <c r="E21" s="67">
        <f>Link!AA21</f>
        <v>0</v>
      </c>
      <c r="F21" s="68">
        <v>275000000</v>
      </c>
      <c r="G21" s="68">
        <f t="shared" si="0"/>
        <v>0</v>
      </c>
    </row>
    <row r="22" spans="1:7" ht="18" hidden="1">
      <c r="A22" s="67">
        <v>21</v>
      </c>
      <c r="B22" s="143"/>
      <c r="C22" s="67" t="s">
        <v>71</v>
      </c>
      <c r="D22" s="67" t="s">
        <v>77</v>
      </c>
      <c r="E22" s="67">
        <f>Link!AA22</f>
        <v>0</v>
      </c>
      <c r="F22" s="68">
        <v>115000000</v>
      </c>
      <c r="G22" s="68">
        <f t="shared" si="0"/>
        <v>0</v>
      </c>
    </row>
    <row r="23" spans="1:7" ht="18" hidden="1">
      <c r="A23" s="67">
        <v>22</v>
      </c>
      <c r="B23" s="143"/>
      <c r="C23" s="67" t="s">
        <v>37</v>
      </c>
      <c r="D23" s="67" t="s">
        <v>78</v>
      </c>
      <c r="E23" s="67">
        <f>Link!AA23</f>
        <v>0</v>
      </c>
      <c r="F23" s="68">
        <v>98000000</v>
      </c>
      <c r="G23" s="68">
        <f t="shared" si="0"/>
        <v>0</v>
      </c>
    </row>
    <row r="24" spans="1:7" ht="18" hidden="1">
      <c r="A24" s="67">
        <v>23</v>
      </c>
      <c r="B24" s="143"/>
      <c r="C24" s="67" t="s">
        <v>74</v>
      </c>
      <c r="D24" s="67" t="s">
        <v>80</v>
      </c>
      <c r="E24" s="67">
        <f>Link!AA24</f>
        <v>0</v>
      </c>
      <c r="F24" s="68">
        <v>85000000</v>
      </c>
      <c r="G24" s="68">
        <f t="shared" si="0"/>
        <v>0</v>
      </c>
    </row>
    <row r="25" spans="1:7" ht="18" hidden="1" customHeight="1">
      <c r="A25" s="67">
        <v>24</v>
      </c>
      <c r="B25" s="143"/>
      <c r="C25" s="67" t="s">
        <v>81</v>
      </c>
      <c r="D25" s="67" t="s">
        <v>82</v>
      </c>
      <c r="E25" s="67">
        <f>Link!AA25</f>
        <v>0</v>
      </c>
      <c r="F25" s="68">
        <v>21000000</v>
      </c>
      <c r="G25" s="68">
        <f t="shared" si="0"/>
        <v>0</v>
      </c>
    </row>
    <row r="26" spans="1:7" ht="18" hidden="1" customHeight="1">
      <c r="A26" s="67">
        <v>25</v>
      </c>
      <c r="B26" s="143"/>
      <c r="C26" s="67" t="s">
        <v>6</v>
      </c>
      <c r="D26" s="67" t="s">
        <v>83</v>
      </c>
      <c r="E26" s="67">
        <f>Link!AA26</f>
        <v>0</v>
      </c>
      <c r="F26" s="68">
        <v>13500000</v>
      </c>
      <c r="G26" s="68">
        <f t="shared" si="0"/>
        <v>0</v>
      </c>
    </row>
    <row r="27" spans="1:7" ht="18" hidden="1" customHeight="1">
      <c r="A27" s="67">
        <v>26</v>
      </c>
      <c r="B27" s="143" t="s">
        <v>32</v>
      </c>
      <c r="C27" s="67" t="s">
        <v>7</v>
      </c>
      <c r="D27" s="67" t="s">
        <v>84</v>
      </c>
      <c r="E27" s="67">
        <f>Link!AA27</f>
        <v>0</v>
      </c>
      <c r="F27" s="68">
        <v>39000000</v>
      </c>
      <c r="G27" s="68">
        <f t="shared" si="0"/>
        <v>0</v>
      </c>
    </row>
    <row r="28" spans="1:7" ht="18" customHeight="1">
      <c r="A28" s="67">
        <v>27</v>
      </c>
      <c r="B28" s="143"/>
      <c r="C28" s="67" t="s">
        <v>85</v>
      </c>
      <c r="D28" s="67" t="s">
        <v>86</v>
      </c>
      <c r="E28" s="67">
        <f>Link!AA28</f>
        <v>1</v>
      </c>
      <c r="F28" s="68">
        <v>33500000</v>
      </c>
      <c r="G28" s="68">
        <f t="shared" si="0"/>
        <v>33500000</v>
      </c>
    </row>
    <row r="29" spans="1:7" ht="18.75" hidden="1" customHeight="1">
      <c r="A29" s="67">
        <v>28</v>
      </c>
      <c r="B29" s="143"/>
      <c r="C29" s="67" t="s">
        <v>87</v>
      </c>
      <c r="D29" s="67" t="s">
        <v>88</v>
      </c>
      <c r="E29" s="67">
        <f>Link!AA29</f>
        <v>0</v>
      </c>
      <c r="F29" s="68">
        <v>39000000</v>
      </c>
      <c r="G29" s="68">
        <f t="shared" si="0"/>
        <v>0</v>
      </c>
    </row>
    <row r="30" spans="1:7" ht="18" hidden="1">
      <c r="A30" s="67">
        <v>29</v>
      </c>
      <c r="B30" s="143"/>
      <c r="C30" s="67" t="s">
        <v>89</v>
      </c>
      <c r="D30" s="67" t="s">
        <v>90</v>
      </c>
      <c r="E30" s="67">
        <f>Link!AA30</f>
        <v>0</v>
      </c>
      <c r="F30" s="68">
        <v>33500000</v>
      </c>
      <c r="G30" s="68">
        <f t="shared" si="0"/>
        <v>0</v>
      </c>
    </row>
    <row r="31" spans="1:7" ht="18">
      <c r="A31" s="67">
        <v>30</v>
      </c>
      <c r="B31" s="143"/>
      <c r="C31" s="67" t="s">
        <v>38</v>
      </c>
      <c r="D31" s="67" t="s">
        <v>91</v>
      </c>
      <c r="E31" s="67">
        <f>Link!AA31</f>
        <v>1</v>
      </c>
      <c r="F31" s="68">
        <v>25000000</v>
      </c>
      <c r="G31" s="68">
        <f t="shared" si="0"/>
        <v>25000000</v>
      </c>
    </row>
    <row r="32" spans="1:7" ht="18" hidden="1">
      <c r="A32" s="67">
        <v>31</v>
      </c>
      <c r="B32" s="143"/>
      <c r="C32" s="67" t="s">
        <v>39</v>
      </c>
      <c r="D32" s="67" t="s">
        <v>92</v>
      </c>
      <c r="E32" s="67">
        <f>Link!AA32</f>
        <v>0</v>
      </c>
      <c r="F32" s="68">
        <v>62000000</v>
      </c>
      <c r="G32" s="68">
        <f t="shared" si="0"/>
        <v>0</v>
      </c>
    </row>
    <row r="33" spans="1:7" ht="18">
      <c r="A33" s="67">
        <v>32</v>
      </c>
      <c r="B33" s="143"/>
      <c r="C33" s="67" t="s">
        <v>93</v>
      </c>
      <c r="D33" s="67" t="s">
        <v>94</v>
      </c>
      <c r="E33" s="67">
        <f>Link!AA33</f>
        <v>1</v>
      </c>
      <c r="F33" s="68">
        <v>57500000</v>
      </c>
      <c r="G33" s="68">
        <f t="shared" si="0"/>
        <v>57500000</v>
      </c>
    </row>
    <row r="34" spans="1:7" ht="18" hidden="1">
      <c r="A34" s="67">
        <v>33</v>
      </c>
      <c r="B34" s="143" t="s">
        <v>40</v>
      </c>
      <c r="C34" s="67" t="s">
        <v>95</v>
      </c>
      <c r="D34" s="67" t="s">
        <v>96</v>
      </c>
      <c r="E34" s="67">
        <f>Link!AA34</f>
        <v>0</v>
      </c>
      <c r="F34" s="68">
        <v>300000000</v>
      </c>
      <c r="G34" s="68">
        <f t="shared" si="0"/>
        <v>0</v>
      </c>
    </row>
    <row r="35" spans="1:7" ht="18" hidden="1">
      <c r="A35" s="67">
        <v>34</v>
      </c>
      <c r="B35" s="143"/>
      <c r="C35" s="67" t="s">
        <v>41</v>
      </c>
      <c r="D35" s="67" t="s">
        <v>99</v>
      </c>
      <c r="E35" s="67">
        <f>Link!AA35</f>
        <v>0</v>
      </c>
      <c r="F35" s="69">
        <v>225000000</v>
      </c>
      <c r="G35" s="68">
        <f t="shared" si="0"/>
        <v>0</v>
      </c>
    </row>
    <row r="36" spans="1:7" ht="18" hidden="1">
      <c r="A36" s="67">
        <v>35</v>
      </c>
      <c r="B36" s="143"/>
      <c r="C36" s="67" t="s">
        <v>98</v>
      </c>
      <c r="D36" s="67" t="s">
        <v>97</v>
      </c>
      <c r="E36" s="67">
        <f>Link!AA36</f>
        <v>0</v>
      </c>
      <c r="F36" s="69">
        <v>181000000</v>
      </c>
      <c r="G36" s="68">
        <f t="shared" si="0"/>
        <v>0</v>
      </c>
    </row>
    <row r="37" spans="1:7" ht="18" hidden="1">
      <c r="A37" s="67">
        <v>36</v>
      </c>
      <c r="B37" s="143"/>
      <c r="C37" s="67" t="s">
        <v>95</v>
      </c>
      <c r="D37" s="67" t="s">
        <v>100</v>
      </c>
      <c r="E37" s="67">
        <f>Link!AA37</f>
        <v>0</v>
      </c>
      <c r="F37" s="68">
        <v>240000000</v>
      </c>
      <c r="G37" s="68">
        <f t="shared" si="0"/>
        <v>0</v>
      </c>
    </row>
    <row r="38" spans="1:7" ht="18" hidden="1">
      <c r="A38" s="67">
        <v>37</v>
      </c>
      <c r="B38" s="143"/>
      <c r="C38" s="67" t="s">
        <v>41</v>
      </c>
      <c r="D38" s="67" t="s">
        <v>102</v>
      </c>
      <c r="E38" s="67">
        <f>Link!AA38</f>
        <v>0</v>
      </c>
      <c r="F38" s="68">
        <v>217000000</v>
      </c>
      <c r="G38" s="68">
        <f t="shared" si="0"/>
        <v>0</v>
      </c>
    </row>
    <row r="39" spans="1:7" ht="18" hidden="1">
      <c r="A39" s="67">
        <v>38</v>
      </c>
      <c r="B39" s="143"/>
      <c r="C39" s="67" t="s">
        <v>98</v>
      </c>
      <c r="D39" s="67" t="s">
        <v>101</v>
      </c>
      <c r="E39" s="67">
        <f>Link!AA39</f>
        <v>0</v>
      </c>
      <c r="F39" s="68">
        <v>179000000</v>
      </c>
      <c r="G39" s="68">
        <f t="shared" si="0"/>
        <v>0</v>
      </c>
    </row>
    <row r="40" spans="1:7" ht="18" hidden="1">
      <c r="A40" s="67">
        <v>39</v>
      </c>
      <c r="B40" s="143" t="s">
        <v>31</v>
      </c>
      <c r="C40" s="67" t="s">
        <v>103</v>
      </c>
      <c r="D40" s="67" t="s">
        <v>104</v>
      </c>
      <c r="E40" s="67">
        <f>Link!AA40</f>
        <v>0</v>
      </c>
      <c r="F40" s="68">
        <v>40000000</v>
      </c>
      <c r="G40" s="68">
        <f t="shared" si="0"/>
        <v>0</v>
      </c>
    </row>
    <row r="41" spans="1:7" ht="18" hidden="1">
      <c r="A41" s="67">
        <v>40</v>
      </c>
      <c r="B41" s="143"/>
      <c r="C41" s="67" t="s">
        <v>42</v>
      </c>
      <c r="D41" s="67" t="s">
        <v>105</v>
      </c>
      <c r="E41" s="67">
        <f>Link!AA41</f>
        <v>0</v>
      </c>
      <c r="F41" s="68">
        <v>28000000</v>
      </c>
      <c r="G41" s="68">
        <f t="shared" si="0"/>
        <v>0</v>
      </c>
    </row>
    <row r="42" spans="1:7" ht="18" hidden="1">
      <c r="A42" s="67">
        <v>41</v>
      </c>
      <c r="B42" s="143" t="s">
        <v>106</v>
      </c>
      <c r="C42" s="67" t="s">
        <v>8</v>
      </c>
      <c r="D42" s="67" t="s">
        <v>107</v>
      </c>
      <c r="E42" s="67">
        <f>Link!AA42</f>
        <v>0</v>
      </c>
      <c r="F42" s="68">
        <v>58500000</v>
      </c>
      <c r="G42" s="68">
        <f t="shared" si="0"/>
        <v>0</v>
      </c>
    </row>
    <row r="43" spans="1:7" ht="18">
      <c r="A43" s="67">
        <v>42</v>
      </c>
      <c r="B43" s="143"/>
      <c r="C43" s="67" t="s">
        <v>9</v>
      </c>
      <c r="D43" s="67" t="s">
        <v>108</v>
      </c>
      <c r="E43" s="67">
        <f>Link!AA43</f>
        <v>1</v>
      </c>
      <c r="F43" s="68">
        <v>54500000</v>
      </c>
      <c r="G43" s="68">
        <f t="shared" si="0"/>
        <v>54500000</v>
      </c>
    </row>
    <row r="44" spans="1:7" ht="18" hidden="1">
      <c r="A44" s="67">
        <v>43</v>
      </c>
      <c r="B44" s="143"/>
      <c r="C44" s="67" t="s">
        <v>109</v>
      </c>
      <c r="D44" s="67" t="s">
        <v>110</v>
      </c>
      <c r="E44" s="67">
        <f>Link!AA44</f>
        <v>0</v>
      </c>
      <c r="F44" s="68">
        <v>52500000</v>
      </c>
      <c r="G44" s="68">
        <f t="shared" si="0"/>
        <v>0</v>
      </c>
    </row>
    <row r="45" spans="1:7" ht="18" hidden="1">
      <c r="A45" s="67">
        <v>44</v>
      </c>
      <c r="B45" s="143"/>
      <c r="C45" s="67" t="s">
        <v>10</v>
      </c>
      <c r="D45" s="67" t="s">
        <v>111</v>
      </c>
      <c r="E45" s="67">
        <f>Link!AA45</f>
        <v>0</v>
      </c>
      <c r="F45" s="68">
        <v>51000000</v>
      </c>
      <c r="G45" s="68">
        <f t="shared" si="0"/>
        <v>0</v>
      </c>
    </row>
    <row r="46" spans="1:7" ht="18">
      <c r="A46" s="67">
        <v>45</v>
      </c>
      <c r="B46" s="143"/>
      <c r="C46" s="67" t="s">
        <v>11</v>
      </c>
      <c r="D46" s="67" t="s">
        <v>112</v>
      </c>
      <c r="E46" s="67">
        <f>Link!AA46</f>
        <v>1</v>
      </c>
      <c r="F46" s="68">
        <v>52500000</v>
      </c>
      <c r="G46" s="68">
        <f t="shared" si="0"/>
        <v>52500000</v>
      </c>
    </row>
    <row r="47" spans="1:7" ht="18" hidden="1">
      <c r="A47" s="67">
        <v>46</v>
      </c>
      <c r="B47" s="143"/>
      <c r="C47" s="67" t="s">
        <v>113</v>
      </c>
      <c r="D47" s="67" t="s">
        <v>114</v>
      </c>
      <c r="E47" s="67">
        <f>Link!AA47</f>
        <v>0</v>
      </c>
      <c r="F47" s="68">
        <v>51500000</v>
      </c>
      <c r="G47" s="68">
        <f t="shared" si="0"/>
        <v>0</v>
      </c>
    </row>
    <row r="48" spans="1:7" ht="18" hidden="1">
      <c r="A48" s="67">
        <v>47</v>
      </c>
      <c r="B48" s="143"/>
      <c r="C48" s="67" t="s">
        <v>115</v>
      </c>
      <c r="D48" s="67" t="s">
        <v>116</v>
      </c>
      <c r="E48" s="67">
        <f>Link!AA48</f>
        <v>0</v>
      </c>
      <c r="F48" s="68">
        <v>47000000</v>
      </c>
      <c r="G48" s="68">
        <f t="shared" si="0"/>
        <v>0</v>
      </c>
    </row>
    <row r="49" spans="1:7" ht="18" hidden="1">
      <c r="A49" s="67">
        <v>48</v>
      </c>
      <c r="B49" s="143"/>
      <c r="C49" s="67" t="s">
        <v>117</v>
      </c>
      <c r="D49" s="67" t="s">
        <v>118</v>
      </c>
      <c r="E49" s="67">
        <f>Link!AA49</f>
        <v>0</v>
      </c>
      <c r="F49" s="68">
        <v>46000000</v>
      </c>
      <c r="G49" s="68">
        <f t="shared" si="0"/>
        <v>0</v>
      </c>
    </row>
    <row r="50" spans="1:7" ht="18" hidden="1">
      <c r="A50" s="67">
        <v>49</v>
      </c>
      <c r="B50" s="143"/>
      <c r="C50" s="67" t="s">
        <v>119</v>
      </c>
      <c r="D50" s="67" t="s">
        <v>120</v>
      </c>
      <c r="E50" s="67">
        <f>Link!AA50</f>
        <v>0</v>
      </c>
      <c r="F50" s="68">
        <v>46000000</v>
      </c>
      <c r="G50" s="68">
        <f t="shared" si="0"/>
        <v>0</v>
      </c>
    </row>
    <row r="51" spans="1:7" ht="18" hidden="1">
      <c r="A51" s="67">
        <v>50</v>
      </c>
      <c r="B51" s="143"/>
      <c r="C51" s="67" t="s">
        <v>121</v>
      </c>
      <c r="D51" s="67" t="s">
        <v>122</v>
      </c>
      <c r="E51" s="67">
        <f>Link!AA51</f>
        <v>0</v>
      </c>
      <c r="F51" s="68">
        <v>46000000</v>
      </c>
      <c r="G51" s="68">
        <f t="shared" si="0"/>
        <v>0</v>
      </c>
    </row>
    <row r="52" spans="1:7" ht="18" hidden="1">
      <c r="A52" s="67">
        <v>51</v>
      </c>
      <c r="B52" s="143" t="s">
        <v>123</v>
      </c>
      <c r="C52" s="67" t="s">
        <v>12</v>
      </c>
      <c r="D52" s="67" t="s">
        <v>43</v>
      </c>
      <c r="E52" s="67">
        <f>Link!AA52</f>
        <v>0</v>
      </c>
      <c r="F52" s="68">
        <v>35000000</v>
      </c>
      <c r="G52" s="68">
        <f t="shared" si="0"/>
        <v>0</v>
      </c>
    </row>
    <row r="53" spans="1:7" ht="18" hidden="1">
      <c r="A53" s="67">
        <v>52</v>
      </c>
      <c r="B53" s="143"/>
      <c r="C53" s="67" t="s">
        <v>124</v>
      </c>
      <c r="D53" s="67" t="s">
        <v>125</v>
      </c>
      <c r="E53" s="67">
        <f>Link!AA53</f>
        <v>0</v>
      </c>
      <c r="F53" s="68">
        <v>58500000</v>
      </c>
      <c r="G53" s="68">
        <f t="shared" si="0"/>
        <v>0</v>
      </c>
    </row>
    <row r="54" spans="1:7" ht="18">
      <c r="A54" s="67">
        <v>53</v>
      </c>
      <c r="B54" s="143"/>
      <c r="C54" s="67" t="s">
        <v>13</v>
      </c>
      <c r="D54" s="67" t="s">
        <v>44</v>
      </c>
      <c r="E54" s="67">
        <f>Link!AA54</f>
        <v>2</v>
      </c>
      <c r="F54" s="68">
        <v>17500000</v>
      </c>
      <c r="G54" s="68">
        <f t="shared" si="0"/>
        <v>35000000</v>
      </c>
    </row>
    <row r="55" spans="1:7" ht="18" hidden="1">
      <c r="A55" s="67">
        <v>54</v>
      </c>
      <c r="B55" s="143"/>
      <c r="C55" s="67" t="s">
        <v>14</v>
      </c>
      <c r="D55" s="67" t="s">
        <v>45</v>
      </c>
      <c r="E55" s="67">
        <f>Link!AA55</f>
        <v>0</v>
      </c>
      <c r="F55" s="68">
        <v>21000000</v>
      </c>
      <c r="G55" s="68">
        <f t="shared" si="0"/>
        <v>0</v>
      </c>
    </row>
    <row r="56" spans="1:7" ht="18">
      <c r="A56" s="67">
        <v>55</v>
      </c>
      <c r="B56" s="143"/>
      <c r="C56" s="67" t="s">
        <v>15</v>
      </c>
      <c r="D56" s="67" t="s">
        <v>46</v>
      </c>
      <c r="E56" s="67">
        <f>Link!AA56</f>
        <v>1</v>
      </c>
      <c r="F56" s="68">
        <v>60000000</v>
      </c>
      <c r="G56" s="68">
        <f t="shared" si="0"/>
        <v>60000000</v>
      </c>
    </row>
    <row r="57" spans="1:7" ht="18">
      <c r="A57" s="67">
        <v>56</v>
      </c>
      <c r="B57" s="143"/>
      <c r="C57" s="67" t="s">
        <v>16</v>
      </c>
      <c r="D57" s="67" t="s">
        <v>47</v>
      </c>
      <c r="E57" s="67">
        <f>Link!AA57</f>
        <v>1</v>
      </c>
      <c r="F57" s="68">
        <v>16000000</v>
      </c>
      <c r="G57" s="68">
        <f t="shared" si="0"/>
        <v>16000000</v>
      </c>
    </row>
    <row r="58" spans="1:7" ht="18" hidden="1">
      <c r="A58" s="67">
        <v>57</v>
      </c>
      <c r="B58" s="143"/>
      <c r="C58" s="67" t="s">
        <v>126</v>
      </c>
      <c r="D58" s="67" t="s">
        <v>127</v>
      </c>
      <c r="E58" s="67">
        <f>Link!AA58</f>
        <v>0</v>
      </c>
      <c r="F58" s="68">
        <v>29500000</v>
      </c>
      <c r="G58" s="68">
        <f t="shared" si="0"/>
        <v>0</v>
      </c>
    </row>
    <row r="59" spans="1:7" ht="18" hidden="1">
      <c r="A59" s="67">
        <v>58</v>
      </c>
      <c r="B59" s="143"/>
      <c r="C59" s="67" t="s">
        <v>17</v>
      </c>
      <c r="D59" s="67" t="s">
        <v>29</v>
      </c>
      <c r="E59" s="67">
        <f>Link!AA59</f>
        <v>0</v>
      </c>
      <c r="F59" s="68">
        <v>13500000</v>
      </c>
      <c r="G59" s="68">
        <f t="shared" si="0"/>
        <v>0</v>
      </c>
    </row>
    <row r="60" spans="1:7" ht="18" hidden="1">
      <c r="A60" s="67">
        <v>59</v>
      </c>
      <c r="B60" s="143"/>
      <c r="C60" s="67" t="s">
        <v>128</v>
      </c>
      <c r="D60" s="67" t="s">
        <v>29</v>
      </c>
      <c r="E60" s="67">
        <f>Link!AA60</f>
        <v>0</v>
      </c>
      <c r="F60" s="68">
        <v>9500000</v>
      </c>
      <c r="G60" s="68">
        <f t="shared" si="0"/>
        <v>0</v>
      </c>
    </row>
    <row r="61" spans="1:7" ht="18">
      <c r="A61" s="67">
        <v>60</v>
      </c>
      <c r="B61" s="143"/>
      <c r="C61" s="67" t="s">
        <v>18</v>
      </c>
      <c r="D61" s="67" t="s">
        <v>29</v>
      </c>
      <c r="E61" s="67">
        <f>Link!AA61</f>
        <v>1</v>
      </c>
      <c r="F61" s="68">
        <v>12500000</v>
      </c>
      <c r="G61" s="68">
        <f t="shared" si="0"/>
        <v>12500000</v>
      </c>
    </row>
    <row r="62" spans="1:7" ht="18" hidden="1">
      <c r="A62" s="67">
        <v>61</v>
      </c>
      <c r="B62" s="143"/>
      <c r="C62" s="67" t="s">
        <v>19</v>
      </c>
      <c r="D62" s="67" t="s">
        <v>29</v>
      </c>
      <c r="E62" s="67">
        <f>Link!AA62</f>
        <v>0</v>
      </c>
      <c r="F62" s="68">
        <v>16500000</v>
      </c>
      <c r="G62" s="68">
        <f t="shared" si="0"/>
        <v>0</v>
      </c>
    </row>
    <row r="63" spans="1:7" ht="18">
      <c r="A63" s="67">
        <v>62</v>
      </c>
      <c r="B63" s="143" t="s">
        <v>48</v>
      </c>
      <c r="C63" s="67" t="s">
        <v>20</v>
      </c>
      <c r="D63" s="67" t="s">
        <v>129</v>
      </c>
      <c r="E63" s="67">
        <f>Link!AA63</f>
        <v>3</v>
      </c>
      <c r="F63" s="70">
        <v>33000000</v>
      </c>
      <c r="G63" s="68">
        <f t="shared" si="0"/>
        <v>99000000</v>
      </c>
    </row>
    <row r="64" spans="1:7" ht="18">
      <c r="A64" s="67">
        <v>63</v>
      </c>
      <c r="B64" s="143"/>
      <c r="C64" s="67" t="s">
        <v>130</v>
      </c>
      <c r="D64" s="67" t="s">
        <v>131</v>
      </c>
      <c r="E64" s="67">
        <f>Link!AA64</f>
        <v>1</v>
      </c>
      <c r="F64" s="70">
        <v>45000000</v>
      </c>
      <c r="G64" s="68">
        <f t="shared" si="0"/>
        <v>45000000</v>
      </c>
    </row>
    <row r="65" spans="1:7" ht="18" hidden="1">
      <c r="A65" s="67">
        <v>64</v>
      </c>
      <c r="B65" s="143"/>
      <c r="C65" s="67" t="s">
        <v>132</v>
      </c>
      <c r="D65" s="67" t="s">
        <v>133</v>
      </c>
      <c r="E65" s="67">
        <f>Link!AA65</f>
        <v>0</v>
      </c>
      <c r="F65" s="68">
        <v>53000000</v>
      </c>
      <c r="G65" s="68">
        <f t="shared" si="0"/>
        <v>0</v>
      </c>
    </row>
    <row r="66" spans="1:7" ht="18" hidden="1">
      <c r="A66" s="67">
        <v>65</v>
      </c>
      <c r="B66" s="143"/>
      <c r="C66" s="67" t="s">
        <v>21</v>
      </c>
      <c r="D66" s="67" t="s">
        <v>131</v>
      </c>
      <c r="E66" s="67">
        <f>Link!AA66</f>
        <v>0</v>
      </c>
      <c r="F66" s="68">
        <v>46000000</v>
      </c>
      <c r="G66" s="68">
        <f t="shared" si="0"/>
        <v>0</v>
      </c>
    </row>
    <row r="67" spans="1:7" ht="18" hidden="1">
      <c r="A67" s="67">
        <v>66</v>
      </c>
      <c r="B67" s="143"/>
      <c r="C67" s="67" t="s">
        <v>134</v>
      </c>
      <c r="D67" s="67" t="s">
        <v>133</v>
      </c>
      <c r="E67" s="67">
        <f>Link!AA67</f>
        <v>0</v>
      </c>
      <c r="F67" s="68">
        <v>53000000</v>
      </c>
      <c r="G67" s="68">
        <f t="shared" ref="G67:G92" si="1">E67*F67</f>
        <v>0</v>
      </c>
    </row>
    <row r="68" spans="1:7" ht="18" hidden="1">
      <c r="A68" s="67">
        <v>67</v>
      </c>
      <c r="B68" s="143"/>
      <c r="C68" s="67" t="s">
        <v>135</v>
      </c>
      <c r="D68" s="67" t="s">
        <v>129</v>
      </c>
      <c r="E68" s="67">
        <f>Link!AA68</f>
        <v>0</v>
      </c>
      <c r="F68" s="68">
        <v>38000000</v>
      </c>
      <c r="G68" s="68">
        <f t="shared" si="1"/>
        <v>0</v>
      </c>
    </row>
    <row r="69" spans="1:7" ht="18" hidden="1">
      <c r="A69" s="67">
        <v>68</v>
      </c>
      <c r="B69" s="143"/>
      <c r="C69" s="67" t="s">
        <v>136</v>
      </c>
      <c r="D69" s="67" t="s">
        <v>131</v>
      </c>
      <c r="E69" s="67">
        <f>Link!AA69</f>
        <v>0</v>
      </c>
      <c r="F69" s="68">
        <v>46000000</v>
      </c>
      <c r="G69" s="68">
        <f t="shared" si="1"/>
        <v>0</v>
      </c>
    </row>
    <row r="70" spans="1:7" ht="18" hidden="1">
      <c r="A70" s="67">
        <v>69</v>
      </c>
      <c r="B70" s="143"/>
      <c r="C70" s="67" t="s">
        <v>137</v>
      </c>
      <c r="D70" s="67" t="s">
        <v>133</v>
      </c>
      <c r="E70" s="67">
        <f>Link!AA70</f>
        <v>0</v>
      </c>
      <c r="F70" s="68">
        <v>53000000</v>
      </c>
      <c r="G70" s="68">
        <f t="shared" si="1"/>
        <v>0</v>
      </c>
    </row>
    <row r="71" spans="1:7" ht="18" hidden="1">
      <c r="A71" s="67">
        <v>70</v>
      </c>
      <c r="B71" s="143"/>
      <c r="C71" s="67" t="s">
        <v>138</v>
      </c>
      <c r="D71" s="67" t="s">
        <v>131</v>
      </c>
      <c r="E71" s="67">
        <f>Link!AA71</f>
        <v>0</v>
      </c>
      <c r="F71" s="68">
        <v>46000000</v>
      </c>
      <c r="G71" s="68">
        <f t="shared" si="1"/>
        <v>0</v>
      </c>
    </row>
    <row r="72" spans="1:7" ht="18" hidden="1">
      <c r="A72" s="67">
        <v>71</v>
      </c>
      <c r="B72" s="143"/>
      <c r="C72" s="67" t="s">
        <v>139</v>
      </c>
      <c r="D72" s="67" t="s">
        <v>133</v>
      </c>
      <c r="E72" s="67">
        <f>Link!AA72</f>
        <v>0</v>
      </c>
      <c r="F72" s="68">
        <v>53000000</v>
      </c>
      <c r="G72" s="68">
        <f t="shared" si="1"/>
        <v>0</v>
      </c>
    </row>
    <row r="73" spans="1:7" ht="18" hidden="1">
      <c r="A73" s="67">
        <v>72</v>
      </c>
      <c r="B73" s="143" t="s">
        <v>49</v>
      </c>
      <c r="C73" s="67" t="s">
        <v>140</v>
      </c>
      <c r="D73" s="67" t="s">
        <v>141</v>
      </c>
      <c r="E73" s="67">
        <f>Link!AA73</f>
        <v>0</v>
      </c>
      <c r="F73" s="68">
        <v>18000000</v>
      </c>
      <c r="G73" s="68">
        <f t="shared" si="1"/>
        <v>0</v>
      </c>
    </row>
    <row r="74" spans="1:7" ht="18">
      <c r="A74" s="67">
        <v>73</v>
      </c>
      <c r="B74" s="143"/>
      <c r="C74" s="67" t="s">
        <v>22</v>
      </c>
      <c r="D74" s="67" t="s">
        <v>142</v>
      </c>
      <c r="E74" s="67">
        <f>Link!AA74</f>
        <v>1</v>
      </c>
      <c r="F74" s="68">
        <v>21000000</v>
      </c>
      <c r="G74" s="68">
        <f t="shared" si="1"/>
        <v>21000000</v>
      </c>
    </row>
    <row r="75" spans="1:7" ht="18" hidden="1">
      <c r="A75" s="67">
        <v>74</v>
      </c>
      <c r="B75" s="143"/>
      <c r="C75" s="67" t="s">
        <v>143</v>
      </c>
      <c r="D75" s="67" t="s">
        <v>144</v>
      </c>
      <c r="E75" s="67">
        <f>Link!AA75</f>
        <v>0</v>
      </c>
      <c r="F75" s="68">
        <v>24500000</v>
      </c>
      <c r="G75" s="68">
        <f t="shared" si="1"/>
        <v>0</v>
      </c>
    </row>
    <row r="76" spans="1:7" ht="18" hidden="1">
      <c r="A76" s="67">
        <v>75</v>
      </c>
      <c r="B76" s="143"/>
      <c r="C76" s="67" t="s">
        <v>145</v>
      </c>
      <c r="D76" s="67" t="s">
        <v>146</v>
      </c>
      <c r="E76" s="67">
        <f>Link!AA76</f>
        <v>0</v>
      </c>
      <c r="F76" s="68">
        <v>26700000</v>
      </c>
      <c r="G76" s="68">
        <f t="shared" si="1"/>
        <v>0</v>
      </c>
    </row>
    <row r="77" spans="1:7" ht="18" hidden="1">
      <c r="A77" s="67">
        <v>76</v>
      </c>
      <c r="B77" s="143"/>
      <c r="C77" s="67" t="s">
        <v>23</v>
      </c>
      <c r="D77" s="67" t="s">
        <v>147</v>
      </c>
      <c r="E77" s="67">
        <f>Link!AA77</f>
        <v>0</v>
      </c>
      <c r="F77" s="68">
        <v>31500000</v>
      </c>
      <c r="G77" s="68">
        <f t="shared" si="1"/>
        <v>0</v>
      </c>
    </row>
    <row r="78" spans="1:7" ht="18" hidden="1">
      <c r="A78" s="67">
        <v>77</v>
      </c>
      <c r="B78" s="143"/>
      <c r="C78" s="67" t="s">
        <v>148</v>
      </c>
      <c r="D78" s="67" t="s">
        <v>149</v>
      </c>
      <c r="E78" s="67">
        <f>Link!AA78</f>
        <v>0</v>
      </c>
      <c r="F78" s="68">
        <v>36500000</v>
      </c>
      <c r="G78" s="68">
        <f t="shared" si="1"/>
        <v>0</v>
      </c>
    </row>
    <row r="79" spans="1:7" ht="18" hidden="1">
      <c r="A79" s="67">
        <v>78</v>
      </c>
      <c r="B79" s="143" t="s">
        <v>50</v>
      </c>
      <c r="C79" s="67" t="s">
        <v>25</v>
      </c>
      <c r="D79" s="67" t="s">
        <v>51</v>
      </c>
      <c r="E79" s="67">
        <f>Link!AA79</f>
        <v>0</v>
      </c>
      <c r="F79" s="68">
        <v>4000000</v>
      </c>
      <c r="G79" s="68">
        <f t="shared" si="1"/>
        <v>0</v>
      </c>
    </row>
    <row r="80" spans="1:7" ht="18">
      <c r="A80" s="67">
        <v>79</v>
      </c>
      <c r="B80" s="143"/>
      <c r="C80" s="67" t="s">
        <v>24</v>
      </c>
      <c r="D80" s="67" t="s">
        <v>30</v>
      </c>
      <c r="E80" s="67">
        <f>Link!AA80</f>
        <v>2</v>
      </c>
      <c r="F80" s="68">
        <v>2000000</v>
      </c>
      <c r="G80" s="68">
        <f t="shared" si="1"/>
        <v>4000000</v>
      </c>
    </row>
    <row r="81" spans="1:7" ht="18">
      <c r="A81" s="67">
        <v>80</v>
      </c>
      <c r="B81" s="143"/>
      <c r="C81" s="67" t="s">
        <v>26</v>
      </c>
      <c r="D81" s="67" t="s">
        <v>473</v>
      </c>
      <c r="E81" s="67">
        <f>Link!AA81</f>
        <v>2</v>
      </c>
      <c r="F81" s="68">
        <v>6500000</v>
      </c>
      <c r="G81" s="68">
        <f t="shared" si="1"/>
        <v>13000000</v>
      </c>
    </row>
    <row r="82" spans="1:7" ht="18" hidden="1">
      <c r="A82" s="67">
        <v>81</v>
      </c>
      <c r="B82" s="143"/>
      <c r="C82" s="67" t="s">
        <v>27</v>
      </c>
      <c r="D82" s="67" t="s">
        <v>163</v>
      </c>
      <c r="E82" s="67">
        <f>Link!AA82</f>
        <v>0</v>
      </c>
      <c r="F82" s="68"/>
      <c r="G82" s="68">
        <f t="shared" si="1"/>
        <v>0</v>
      </c>
    </row>
    <row r="83" spans="1:7" ht="18" hidden="1">
      <c r="A83" s="116">
        <v>82</v>
      </c>
      <c r="B83" s="143"/>
      <c r="C83" s="67" t="s">
        <v>28</v>
      </c>
      <c r="D83" s="67" t="s">
        <v>164</v>
      </c>
      <c r="E83" s="67">
        <f>Link!AA83</f>
        <v>0</v>
      </c>
      <c r="F83" s="68"/>
      <c r="G83" s="68">
        <f t="shared" si="1"/>
        <v>0</v>
      </c>
    </row>
    <row r="84" spans="1:7" ht="18" hidden="1">
      <c r="A84" s="116">
        <v>83</v>
      </c>
      <c r="B84" s="143"/>
      <c r="C84" s="67" t="s">
        <v>161</v>
      </c>
      <c r="D84" s="67" t="s">
        <v>165</v>
      </c>
      <c r="E84" s="67">
        <f>Link!AA84</f>
        <v>0</v>
      </c>
      <c r="F84" s="68"/>
      <c r="G84" s="68">
        <f t="shared" si="1"/>
        <v>0</v>
      </c>
    </row>
    <row r="85" spans="1:7" ht="18" hidden="1">
      <c r="A85" s="116">
        <v>84</v>
      </c>
      <c r="B85" s="143" t="s">
        <v>150</v>
      </c>
      <c r="C85" s="67" t="s">
        <v>151</v>
      </c>
      <c r="D85" s="67" t="s">
        <v>152</v>
      </c>
      <c r="E85" s="67">
        <f>Link!AA85</f>
        <v>0</v>
      </c>
      <c r="F85" s="68">
        <v>57057262.079999998</v>
      </c>
      <c r="G85" s="68">
        <f t="shared" si="1"/>
        <v>0</v>
      </c>
    </row>
    <row r="86" spans="1:7" ht="18" hidden="1">
      <c r="A86" s="116">
        <v>85</v>
      </c>
      <c r="B86" s="143"/>
      <c r="C86" s="67" t="s">
        <v>153</v>
      </c>
      <c r="D86" s="67" t="s">
        <v>154</v>
      </c>
      <c r="E86" s="67">
        <f>Link!AA86</f>
        <v>0</v>
      </c>
      <c r="F86" s="68">
        <v>76694392.319999993</v>
      </c>
      <c r="G86" s="68">
        <f t="shared" si="1"/>
        <v>0</v>
      </c>
    </row>
    <row r="87" spans="1:7" ht="18" hidden="1">
      <c r="A87" s="116">
        <v>86</v>
      </c>
      <c r="B87" s="143"/>
      <c r="C87" s="67" t="s">
        <v>155</v>
      </c>
      <c r="D87" s="67" t="s">
        <v>156</v>
      </c>
      <c r="E87" s="67">
        <f>Link!AA87</f>
        <v>0</v>
      </c>
      <c r="F87" s="68">
        <v>106580597.76000001</v>
      </c>
      <c r="G87" s="68">
        <f t="shared" si="1"/>
        <v>0</v>
      </c>
    </row>
    <row r="88" spans="1:7" ht="18">
      <c r="A88" s="116">
        <v>87</v>
      </c>
      <c r="B88" s="67" t="s">
        <v>157</v>
      </c>
      <c r="C88" s="67" t="s">
        <v>158</v>
      </c>
      <c r="D88" s="67" t="s">
        <v>476</v>
      </c>
      <c r="E88" s="67">
        <f>Link!AA88</f>
        <v>1</v>
      </c>
      <c r="F88" s="68"/>
      <c r="G88" s="68">
        <f t="shared" si="1"/>
        <v>0</v>
      </c>
    </row>
    <row r="89" spans="1:7" ht="18">
      <c r="A89" s="116">
        <v>88</v>
      </c>
      <c r="B89" s="67" t="s">
        <v>159</v>
      </c>
      <c r="C89" s="67" t="s">
        <v>474</v>
      </c>
      <c r="D89" s="67" t="s">
        <v>475</v>
      </c>
      <c r="E89" s="67">
        <f>Link!AA89</f>
        <v>6</v>
      </c>
      <c r="F89" s="68">
        <v>2000000</v>
      </c>
      <c r="G89" s="68">
        <f t="shared" si="1"/>
        <v>12000000</v>
      </c>
    </row>
    <row r="90" spans="1:7" ht="18" hidden="1">
      <c r="A90" s="116">
        <v>89</v>
      </c>
      <c r="B90" s="144" t="s">
        <v>472</v>
      </c>
      <c r="C90" s="71"/>
      <c r="D90" s="72"/>
      <c r="E90" s="67">
        <v>0</v>
      </c>
      <c r="F90" s="68"/>
      <c r="G90" s="68">
        <f t="shared" si="1"/>
        <v>0</v>
      </c>
    </row>
    <row r="91" spans="1:7" ht="18" hidden="1">
      <c r="A91" s="116">
        <v>90</v>
      </c>
      <c r="B91" s="145"/>
      <c r="C91" s="71"/>
      <c r="D91" s="72"/>
      <c r="E91" s="67">
        <v>0</v>
      </c>
      <c r="F91" s="68"/>
      <c r="G91" s="68">
        <f t="shared" si="1"/>
        <v>0</v>
      </c>
    </row>
    <row r="92" spans="1:7" ht="18" hidden="1">
      <c r="A92" s="116">
        <v>91</v>
      </c>
      <c r="B92" s="145"/>
      <c r="C92" s="71"/>
      <c r="D92" s="72"/>
      <c r="E92" s="67">
        <v>0</v>
      </c>
      <c r="F92" s="68"/>
      <c r="G92" s="68">
        <f t="shared" si="1"/>
        <v>0</v>
      </c>
    </row>
    <row r="93" spans="1:7" ht="18">
      <c r="A93" s="67" t="s">
        <v>471</v>
      </c>
      <c r="B93" s="145"/>
      <c r="C93" s="71"/>
      <c r="D93" s="72"/>
      <c r="F93" s="68"/>
      <c r="G93" s="68"/>
    </row>
    <row r="94" spans="1:7" ht="18">
      <c r="A94" s="67"/>
      <c r="B94" s="145"/>
      <c r="C94" s="71"/>
      <c r="D94" s="72"/>
      <c r="E94" s="67"/>
      <c r="F94" s="68"/>
      <c r="G94" s="68"/>
    </row>
    <row r="95" spans="1:7" ht="18">
      <c r="A95" s="67"/>
      <c r="B95" s="145"/>
      <c r="C95" s="71"/>
      <c r="D95" s="72"/>
      <c r="E95" s="67"/>
      <c r="F95" s="68"/>
      <c r="G95" s="68"/>
    </row>
    <row r="96" spans="1:7" ht="18">
      <c r="A96" s="67"/>
      <c r="B96" s="145"/>
      <c r="C96" s="71"/>
      <c r="D96" s="72"/>
      <c r="E96" s="67"/>
      <c r="F96" s="68"/>
      <c r="G96" s="68"/>
    </row>
    <row r="97" spans="1:7" ht="18">
      <c r="A97" s="67"/>
      <c r="B97" s="146"/>
      <c r="C97" s="71"/>
      <c r="D97" s="72"/>
      <c r="E97" s="67"/>
      <c r="F97" s="68"/>
      <c r="G97" s="68"/>
    </row>
    <row r="98" spans="1:7" ht="21" customHeight="1">
      <c r="A98" s="141"/>
      <c r="B98" s="141"/>
      <c r="C98" s="141"/>
      <c r="D98" s="142"/>
      <c r="E98" s="138">
        <f>SUBTOTAL(9,G15:G97)</f>
        <v>561500000</v>
      </c>
      <c r="F98" s="139"/>
      <c r="G98" s="140"/>
    </row>
  </sheetData>
  <autoFilter ref="A1:G97">
    <filterColumn colId="4">
      <customFilters>
        <customFilter operator="notEqual" val="0"/>
      </customFilters>
    </filterColumn>
  </autoFilter>
  <mergeCells count="14">
    <mergeCell ref="E98:G98"/>
    <mergeCell ref="A98:D98"/>
    <mergeCell ref="B42:B51"/>
    <mergeCell ref="B2:B18"/>
    <mergeCell ref="B19:B26"/>
    <mergeCell ref="B27:B33"/>
    <mergeCell ref="B34:B39"/>
    <mergeCell ref="B40:B41"/>
    <mergeCell ref="B52:B62"/>
    <mergeCell ref="B63:B72"/>
    <mergeCell ref="B73:B78"/>
    <mergeCell ref="B79:B84"/>
    <mergeCell ref="B85:B87"/>
    <mergeCell ref="B90:B97"/>
  </mergeCells>
  <pageMargins left="0.7" right="0.7" top="0.75" bottom="0.75" header="0.3" footer="0.3"/>
  <pageSetup orientation="landscape" r:id="rId1"/>
  <headerFooter>
    <oddHeader>&amp;Rفروشگاه : رشت- رودسر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filterMode="1"/>
  <dimension ref="A1:G103"/>
  <sheetViews>
    <sheetView rightToLeft="1" workbookViewId="0">
      <selection activeCell="E81" sqref="E81"/>
    </sheetView>
  </sheetViews>
  <sheetFormatPr defaultColWidth="9.140625" defaultRowHeight="15"/>
  <cols>
    <col min="1" max="1" width="5.42578125" style="73" customWidth="1"/>
    <col min="2" max="2" width="9.85546875" style="73" customWidth="1"/>
    <col min="3" max="3" width="13.140625" style="73" bestFit="1" customWidth="1"/>
    <col min="4" max="4" width="27.5703125" style="73" customWidth="1"/>
    <col min="5" max="5" width="7.42578125" style="73" customWidth="1"/>
    <col min="6" max="6" width="12.7109375" style="74" customWidth="1"/>
    <col min="7" max="7" width="12" style="74" customWidth="1"/>
    <col min="8" max="8" width="9.140625" style="66"/>
    <col min="9" max="9" width="9.7109375" style="66" bestFit="1" customWidth="1"/>
    <col min="10" max="10" width="1.85546875" style="66" bestFit="1" customWidth="1"/>
    <col min="11" max="11" width="7" style="66" bestFit="1" customWidth="1"/>
    <col min="12" max="12" width="9.42578125" style="66" bestFit="1" customWidth="1"/>
    <col min="13" max="13" width="6.42578125" style="66" bestFit="1" customWidth="1"/>
    <col min="14" max="14" width="10.85546875" style="66" bestFit="1" customWidth="1"/>
    <col min="15" max="16384" width="9.140625" style="66"/>
  </cols>
  <sheetData>
    <row r="1" spans="1:7" s="77" customFormat="1" ht="31.5">
      <c r="A1" s="75" t="s">
        <v>0</v>
      </c>
      <c r="B1" s="75" t="s">
        <v>52</v>
      </c>
      <c r="C1" s="75" t="s">
        <v>53</v>
      </c>
      <c r="D1" s="75" t="s">
        <v>54</v>
      </c>
      <c r="E1" s="75" t="s">
        <v>166</v>
      </c>
      <c r="F1" s="76" t="s">
        <v>469</v>
      </c>
      <c r="G1" s="76" t="s">
        <v>470</v>
      </c>
    </row>
    <row r="2" spans="1:7" ht="18" hidden="1">
      <c r="A2" s="67">
        <v>1</v>
      </c>
      <c r="B2" s="143" t="s">
        <v>55</v>
      </c>
      <c r="C2" s="67" t="s">
        <v>3</v>
      </c>
      <c r="D2" s="67" t="s">
        <v>33</v>
      </c>
      <c r="E2" s="67">
        <f>Link!AA2</f>
        <v>0</v>
      </c>
      <c r="F2" s="68">
        <v>200000</v>
      </c>
      <c r="G2" s="68">
        <f>E2*F2</f>
        <v>0</v>
      </c>
    </row>
    <row r="3" spans="1:7" ht="18" hidden="1" customHeight="1">
      <c r="A3" s="67">
        <v>2</v>
      </c>
      <c r="B3" s="143"/>
      <c r="C3" s="67" t="s">
        <v>2</v>
      </c>
      <c r="D3" s="67" t="s">
        <v>33</v>
      </c>
      <c r="E3" s="67">
        <f>Link!AA3</f>
        <v>0</v>
      </c>
      <c r="F3" s="68">
        <v>200000</v>
      </c>
      <c r="G3" s="68">
        <f t="shared" ref="G3:G66" si="0">E3*F3</f>
        <v>0</v>
      </c>
    </row>
    <row r="4" spans="1:7" ht="18" hidden="1" customHeight="1">
      <c r="A4" s="67">
        <v>3</v>
      </c>
      <c r="B4" s="143"/>
      <c r="C4" s="67" t="s">
        <v>34</v>
      </c>
      <c r="D4" s="67" t="s">
        <v>56</v>
      </c>
      <c r="E4" s="67">
        <f>Link!AA4</f>
        <v>0</v>
      </c>
      <c r="F4" s="68">
        <v>1500000</v>
      </c>
      <c r="G4" s="68">
        <f t="shared" si="0"/>
        <v>0</v>
      </c>
    </row>
    <row r="5" spans="1:7" ht="18" hidden="1" customHeight="1">
      <c r="A5" s="67">
        <v>4</v>
      </c>
      <c r="B5" s="143"/>
      <c r="C5" s="67" t="s">
        <v>57</v>
      </c>
      <c r="D5" s="67" t="s">
        <v>56</v>
      </c>
      <c r="E5" s="67">
        <f>Link!AA5</f>
        <v>0</v>
      </c>
      <c r="F5" s="68">
        <v>1500000</v>
      </c>
      <c r="G5" s="68">
        <f t="shared" si="0"/>
        <v>0</v>
      </c>
    </row>
    <row r="6" spans="1:7" ht="18.75" hidden="1" customHeight="1">
      <c r="A6" s="67">
        <v>5</v>
      </c>
      <c r="B6" s="143"/>
      <c r="C6" s="67" t="s">
        <v>58</v>
      </c>
      <c r="D6" s="67" t="s">
        <v>56</v>
      </c>
      <c r="E6" s="67">
        <f>Link!AA6</f>
        <v>0</v>
      </c>
      <c r="F6" s="68">
        <v>1500000</v>
      </c>
      <c r="G6" s="68">
        <f t="shared" si="0"/>
        <v>0</v>
      </c>
    </row>
    <row r="7" spans="1:7" ht="18" hidden="1" customHeight="1">
      <c r="A7" s="67">
        <v>6</v>
      </c>
      <c r="B7" s="143"/>
      <c r="C7" s="67" t="s">
        <v>59</v>
      </c>
      <c r="D7" s="67" t="s">
        <v>56</v>
      </c>
      <c r="E7" s="67">
        <f>Link!AA7</f>
        <v>0</v>
      </c>
      <c r="F7" s="68">
        <v>1500000</v>
      </c>
      <c r="G7" s="68">
        <f t="shared" si="0"/>
        <v>0</v>
      </c>
    </row>
    <row r="8" spans="1:7" ht="18" hidden="1" customHeight="1">
      <c r="A8" s="67">
        <v>7</v>
      </c>
      <c r="B8" s="143"/>
      <c r="C8" s="67" t="s">
        <v>60</v>
      </c>
      <c r="D8" s="67" t="s">
        <v>56</v>
      </c>
      <c r="E8" s="67">
        <f>Link!AA8</f>
        <v>0</v>
      </c>
      <c r="F8" s="68">
        <v>1500000</v>
      </c>
      <c r="G8" s="68">
        <f t="shared" si="0"/>
        <v>0</v>
      </c>
    </row>
    <row r="9" spans="1:7" ht="18.75" hidden="1" customHeight="1">
      <c r="A9" s="67">
        <v>8</v>
      </c>
      <c r="B9" s="143"/>
      <c r="C9" s="67" t="s">
        <v>61</v>
      </c>
      <c r="D9" s="67" t="s">
        <v>56</v>
      </c>
      <c r="E9" s="67">
        <f>Link!AA9</f>
        <v>0</v>
      </c>
      <c r="F9" s="68">
        <v>1500000</v>
      </c>
      <c r="G9" s="68">
        <f t="shared" si="0"/>
        <v>0</v>
      </c>
    </row>
    <row r="10" spans="1:7" ht="18" hidden="1" customHeight="1">
      <c r="A10" s="67">
        <v>9</v>
      </c>
      <c r="B10" s="143"/>
      <c r="C10" s="67" t="s">
        <v>35</v>
      </c>
      <c r="D10" s="67" t="s">
        <v>56</v>
      </c>
      <c r="E10" s="67">
        <f>Link!AA10</f>
        <v>0</v>
      </c>
      <c r="F10" s="68">
        <v>1500000</v>
      </c>
      <c r="G10" s="68">
        <f t="shared" si="0"/>
        <v>0</v>
      </c>
    </row>
    <row r="11" spans="1:7" ht="18" hidden="1">
      <c r="A11" s="67">
        <v>10</v>
      </c>
      <c r="B11" s="143"/>
      <c r="C11" s="67" t="s">
        <v>62</v>
      </c>
      <c r="D11" s="67" t="s">
        <v>56</v>
      </c>
      <c r="E11" s="67">
        <f>Link!AA11</f>
        <v>0</v>
      </c>
      <c r="F11" s="68">
        <v>1500000</v>
      </c>
      <c r="G11" s="68">
        <f t="shared" si="0"/>
        <v>0</v>
      </c>
    </row>
    <row r="12" spans="1:7" ht="18" hidden="1">
      <c r="A12" s="67">
        <v>11</v>
      </c>
      <c r="B12" s="143"/>
      <c r="C12" s="67" t="s">
        <v>63</v>
      </c>
      <c r="D12" s="67" t="s">
        <v>56</v>
      </c>
      <c r="E12" s="67">
        <f>Link!AA12</f>
        <v>0</v>
      </c>
      <c r="F12" s="68">
        <v>1500000</v>
      </c>
      <c r="G12" s="68">
        <f t="shared" si="0"/>
        <v>0</v>
      </c>
    </row>
    <row r="13" spans="1:7" ht="18" hidden="1" customHeight="1">
      <c r="A13" s="67">
        <v>12</v>
      </c>
      <c r="B13" s="143"/>
      <c r="C13" s="67" t="s">
        <v>64</v>
      </c>
      <c r="D13" s="67" t="s">
        <v>56</v>
      </c>
      <c r="E13" s="67">
        <f>Link!AA13</f>
        <v>0</v>
      </c>
      <c r="F13" s="68">
        <v>500000</v>
      </c>
      <c r="G13" s="68">
        <f t="shared" si="0"/>
        <v>0</v>
      </c>
    </row>
    <row r="14" spans="1:7" ht="18" hidden="1" customHeight="1">
      <c r="A14" s="67">
        <v>13</v>
      </c>
      <c r="B14" s="143"/>
      <c r="C14" s="67" t="s">
        <v>65</v>
      </c>
      <c r="D14" s="67" t="s">
        <v>56</v>
      </c>
      <c r="E14" s="67">
        <f>Link!AA14</f>
        <v>0</v>
      </c>
      <c r="F14" s="68">
        <v>500000</v>
      </c>
      <c r="G14" s="68">
        <f t="shared" si="0"/>
        <v>0</v>
      </c>
    </row>
    <row r="15" spans="1:7" ht="18.75" customHeight="1">
      <c r="A15" s="67">
        <v>14</v>
      </c>
      <c r="B15" s="143"/>
      <c r="C15" s="67" t="s">
        <v>66</v>
      </c>
      <c r="D15" s="67" t="s">
        <v>56</v>
      </c>
      <c r="E15" s="67">
        <f>Link!AA15</f>
        <v>1</v>
      </c>
      <c r="F15" s="68">
        <v>500000</v>
      </c>
      <c r="G15" s="68">
        <f t="shared" si="0"/>
        <v>500000</v>
      </c>
    </row>
    <row r="16" spans="1:7" ht="18" hidden="1">
      <c r="A16" s="67">
        <v>15</v>
      </c>
      <c r="B16" s="143"/>
      <c r="C16" s="67" t="s">
        <v>67</v>
      </c>
      <c r="D16" s="67" t="s">
        <v>69</v>
      </c>
      <c r="E16" s="67">
        <f>Link!AA16</f>
        <v>0</v>
      </c>
      <c r="F16" s="68">
        <v>600000</v>
      </c>
      <c r="G16" s="68">
        <f t="shared" si="0"/>
        <v>0</v>
      </c>
    </row>
    <row r="17" spans="1:7" ht="18" hidden="1">
      <c r="A17" s="67">
        <v>16</v>
      </c>
      <c r="B17" s="143"/>
      <c r="C17" s="67" t="s">
        <v>4</v>
      </c>
      <c r="D17" s="67" t="s">
        <v>68</v>
      </c>
      <c r="E17" s="67">
        <f>Link!AA17</f>
        <v>0</v>
      </c>
      <c r="F17" s="68">
        <v>600000</v>
      </c>
      <c r="G17" s="68">
        <f t="shared" si="0"/>
        <v>0</v>
      </c>
    </row>
    <row r="18" spans="1:7" ht="18" hidden="1" customHeight="1">
      <c r="A18" s="67">
        <v>17</v>
      </c>
      <c r="B18" s="143"/>
      <c r="C18" s="67" t="s">
        <v>1</v>
      </c>
      <c r="D18" s="67" t="s">
        <v>70</v>
      </c>
      <c r="E18" s="67">
        <f>Link!AA18</f>
        <v>0</v>
      </c>
      <c r="F18" s="68">
        <v>600000</v>
      </c>
      <c r="G18" s="68">
        <f t="shared" si="0"/>
        <v>0</v>
      </c>
    </row>
    <row r="19" spans="1:7" ht="18" hidden="1" customHeight="1">
      <c r="A19" s="67">
        <v>18</v>
      </c>
      <c r="B19" s="143" t="s">
        <v>36</v>
      </c>
      <c r="C19" s="67" t="s">
        <v>76</v>
      </c>
      <c r="D19" s="67" t="s">
        <v>72</v>
      </c>
      <c r="E19" s="67">
        <f>Link!AA19</f>
        <v>0</v>
      </c>
      <c r="F19" s="68">
        <v>16000000</v>
      </c>
      <c r="G19" s="68">
        <f t="shared" si="0"/>
        <v>0</v>
      </c>
    </row>
    <row r="20" spans="1:7" ht="18" hidden="1" customHeight="1">
      <c r="A20" s="67">
        <v>19</v>
      </c>
      <c r="B20" s="143"/>
      <c r="C20" s="67" t="s">
        <v>5</v>
      </c>
      <c r="D20" s="67" t="s">
        <v>73</v>
      </c>
      <c r="E20" s="67">
        <f>Link!AA20</f>
        <v>0</v>
      </c>
      <c r="F20" s="68">
        <v>12500000</v>
      </c>
      <c r="G20" s="68">
        <f t="shared" si="0"/>
        <v>0</v>
      </c>
    </row>
    <row r="21" spans="1:7" ht="18.75" hidden="1" customHeight="1">
      <c r="A21" s="67">
        <v>20</v>
      </c>
      <c r="B21" s="143"/>
      <c r="C21" s="67" t="s">
        <v>79</v>
      </c>
      <c r="D21" s="67" t="s">
        <v>75</v>
      </c>
      <c r="E21" s="67">
        <f>Link!AA21</f>
        <v>0</v>
      </c>
      <c r="F21" s="68">
        <v>9500000</v>
      </c>
      <c r="G21" s="68">
        <f t="shared" si="0"/>
        <v>0</v>
      </c>
    </row>
    <row r="22" spans="1:7" ht="18" hidden="1">
      <c r="A22" s="67">
        <v>21</v>
      </c>
      <c r="B22" s="143"/>
      <c r="C22" s="67" t="s">
        <v>71</v>
      </c>
      <c r="D22" s="67" t="s">
        <v>77</v>
      </c>
      <c r="E22" s="67">
        <f>Link!AA22</f>
        <v>0</v>
      </c>
      <c r="F22" s="68">
        <v>1500000</v>
      </c>
      <c r="G22" s="68">
        <f t="shared" si="0"/>
        <v>0</v>
      </c>
    </row>
    <row r="23" spans="1:7" ht="18" hidden="1">
      <c r="A23" s="67">
        <v>22</v>
      </c>
      <c r="B23" s="143"/>
      <c r="C23" s="67" t="s">
        <v>37</v>
      </c>
      <c r="D23" s="67" t="s">
        <v>78</v>
      </c>
      <c r="E23" s="67">
        <f>Link!AA23</f>
        <v>0</v>
      </c>
      <c r="F23" s="68">
        <v>1500000</v>
      </c>
      <c r="G23" s="68">
        <f t="shared" si="0"/>
        <v>0</v>
      </c>
    </row>
    <row r="24" spans="1:7" ht="18" hidden="1">
      <c r="A24" s="67">
        <v>23</v>
      </c>
      <c r="B24" s="143"/>
      <c r="C24" s="67" t="s">
        <v>74</v>
      </c>
      <c r="D24" s="67" t="s">
        <v>80</v>
      </c>
      <c r="E24" s="67">
        <f>Link!AA24</f>
        <v>0</v>
      </c>
      <c r="F24" s="68">
        <v>1500000</v>
      </c>
      <c r="G24" s="68">
        <f t="shared" si="0"/>
        <v>0</v>
      </c>
    </row>
    <row r="25" spans="1:7" ht="18" hidden="1" customHeight="1">
      <c r="A25" s="67">
        <v>24</v>
      </c>
      <c r="B25" s="143"/>
      <c r="C25" s="67" t="s">
        <v>81</v>
      </c>
      <c r="D25" s="67" t="s">
        <v>82</v>
      </c>
      <c r="E25" s="67">
        <f>Link!AA25</f>
        <v>0</v>
      </c>
      <c r="F25" s="68">
        <v>500000</v>
      </c>
      <c r="G25" s="68">
        <f t="shared" si="0"/>
        <v>0</v>
      </c>
    </row>
    <row r="26" spans="1:7" ht="18" hidden="1" customHeight="1">
      <c r="A26" s="67">
        <v>25</v>
      </c>
      <c r="B26" s="143"/>
      <c r="C26" s="67" t="s">
        <v>6</v>
      </c>
      <c r="D26" s="67" t="s">
        <v>83</v>
      </c>
      <c r="E26" s="67">
        <f>Link!AA26</f>
        <v>0</v>
      </c>
      <c r="F26" s="68">
        <v>500000</v>
      </c>
      <c r="G26" s="68">
        <f t="shared" si="0"/>
        <v>0</v>
      </c>
    </row>
    <row r="27" spans="1:7" ht="18" hidden="1" customHeight="1">
      <c r="A27" s="67">
        <v>26</v>
      </c>
      <c r="B27" s="143" t="s">
        <v>32</v>
      </c>
      <c r="C27" s="67" t="s">
        <v>7</v>
      </c>
      <c r="D27" s="67" t="s">
        <v>84</v>
      </c>
      <c r="E27" s="67">
        <f>Link!AA27</f>
        <v>0</v>
      </c>
      <c r="F27" s="68">
        <v>1300000</v>
      </c>
      <c r="G27" s="68">
        <f t="shared" si="0"/>
        <v>0</v>
      </c>
    </row>
    <row r="28" spans="1:7" ht="18" customHeight="1">
      <c r="A28" s="67">
        <v>27</v>
      </c>
      <c r="B28" s="143"/>
      <c r="C28" s="67" t="s">
        <v>85</v>
      </c>
      <c r="D28" s="67" t="s">
        <v>86</v>
      </c>
      <c r="E28" s="67">
        <f>Link!AA28</f>
        <v>1</v>
      </c>
      <c r="F28" s="68">
        <v>1300000</v>
      </c>
      <c r="G28" s="68">
        <f t="shared" si="0"/>
        <v>1300000</v>
      </c>
    </row>
    <row r="29" spans="1:7" ht="18.75" hidden="1" customHeight="1">
      <c r="A29" s="67">
        <v>28</v>
      </c>
      <c r="B29" s="143"/>
      <c r="C29" s="67" t="s">
        <v>87</v>
      </c>
      <c r="D29" s="67" t="s">
        <v>88</v>
      </c>
      <c r="E29" s="67">
        <f>Link!AA29</f>
        <v>0</v>
      </c>
      <c r="F29" s="68">
        <v>1300000</v>
      </c>
      <c r="G29" s="68">
        <f t="shared" si="0"/>
        <v>0</v>
      </c>
    </row>
    <row r="30" spans="1:7" ht="18" hidden="1">
      <c r="A30" s="67">
        <v>29</v>
      </c>
      <c r="B30" s="143"/>
      <c r="C30" s="67" t="s">
        <v>89</v>
      </c>
      <c r="D30" s="67" t="s">
        <v>90</v>
      </c>
      <c r="E30" s="67">
        <f>Link!AA30</f>
        <v>0</v>
      </c>
      <c r="F30" s="68">
        <v>1300000</v>
      </c>
      <c r="G30" s="68">
        <f t="shared" si="0"/>
        <v>0</v>
      </c>
    </row>
    <row r="31" spans="1:7" ht="18">
      <c r="A31" s="67">
        <v>30</v>
      </c>
      <c r="B31" s="143"/>
      <c r="C31" s="67" t="s">
        <v>38</v>
      </c>
      <c r="D31" s="67" t="s">
        <v>91</v>
      </c>
      <c r="E31" s="67">
        <f>Link!AA31</f>
        <v>1</v>
      </c>
      <c r="F31" s="68">
        <v>500000</v>
      </c>
      <c r="G31" s="68">
        <f t="shared" si="0"/>
        <v>500000</v>
      </c>
    </row>
    <row r="32" spans="1:7" ht="18" hidden="1">
      <c r="A32" s="67">
        <v>31</v>
      </c>
      <c r="B32" s="143"/>
      <c r="C32" s="67" t="s">
        <v>39</v>
      </c>
      <c r="D32" s="67" t="s">
        <v>92</v>
      </c>
      <c r="E32" s="67">
        <f>Link!AA32</f>
        <v>0</v>
      </c>
      <c r="F32" s="68">
        <v>1000000</v>
      </c>
      <c r="G32" s="68">
        <f t="shared" si="0"/>
        <v>0</v>
      </c>
    </row>
    <row r="33" spans="1:7" ht="18">
      <c r="A33" s="67">
        <v>32</v>
      </c>
      <c r="B33" s="143"/>
      <c r="C33" s="67" t="s">
        <v>93</v>
      </c>
      <c r="D33" s="67" t="s">
        <v>94</v>
      </c>
      <c r="E33" s="67">
        <f>Link!AA33</f>
        <v>1</v>
      </c>
      <c r="F33" s="68">
        <v>1000000</v>
      </c>
      <c r="G33" s="68">
        <f t="shared" si="0"/>
        <v>1000000</v>
      </c>
    </row>
    <row r="34" spans="1:7" ht="18" hidden="1">
      <c r="A34" s="67">
        <v>33</v>
      </c>
      <c r="B34" s="143" t="s">
        <v>40</v>
      </c>
      <c r="C34" s="67" t="s">
        <v>95</v>
      </c>
      <c r="D34" s="67" t="s">
        <v>476</v>
      </c>
      <c r="E34" s="67">
        <f>Link!AA34</f>
        <v>0</v>
      </c>
      <c r="F34" s="68"/>
      <c r="G34" s="68">
        <f t="shared" si="0"/>
        <v>0</v>
      </c>
    </row>
    <row r="35" spans="1:7" ht="18" hidden="1">
      <c r="A35" s="67">
        <v>34</v>
      </c>
      <c r="B35" s="143"/>
      <c r="C35" s="67" t="s">
        <v>41</v>
      </c>
      <c r="D35" s="67" t="s">
        <v>476</v>
      </c>
      <c r="E35" s="67">
        <f>Link!AA35</f>
        <v>0</v>
      </c>
      <c r="F35" s="69"/>
      <c r="G35" s="68">
        <f t="shared" si="0"/>
        <v>0</v>
      </c>
    </row>
    <row r="36" spans="1:7" ht="18" hidden="1">
      <c r="A36" s="67">
        <v>35</v>
      </c>
      <c r="B36" s="143"/>
      <c r="C36" s="67" t="s">
        <v>98</v>
      </c>
      <c r="D36" s="67" t="s">
        <v>97</v>
      </c>
      <c r="E36" s="67">
        <f>Link!AA36</f>
        <v>0</v>
      </c>
      <c r="F36" s="69">
        <v>3500000</v>
      </c>
      <c r="G36" s="68">
        <f t="shared" si="0"/>
        <v>0</v>
      </c>
    </row>
    <row r="37" spans="1:7" ht="18" hidden="1">
      <c r="A37" s="67">
        <v>36</v>
      </c>
      <c r="B37" s="143"/>
      <c r="C37" s="67" t="s">
        <v>95</v>
      </c>
      <c r="D37" s="67" t="s">
        <v>476</v>
      </c>
      <c r="E37" s="67">
        <f>Link!AA37</f>
        <v>0</v>
      </c>
      <c r="F37" s="68"/>
      <c r="G37" s="68">
        <f t="shared" si="0"/>
        <v>0</v>
      </c>
    </row>
    <row r="38" spans="1:7" ht="18" hidden="1">
      <c r="A38" s="67">
        <v>37</v>
      </c>
      <c r="B38" s="143"/>
      <c r="C38" s="67" t="s">
        <v>41</v>
      </c>
      <c r="D38" s="67" t="s">
        <v>476</v>
      </c>
      <c r="E38" s="67">
        <f>Link!AA38</f>
        <v>0</v>
      </c>
      <c r="F38" s="68"/>
      <c r="G38" s="68">
        <f t="shared" si="0"/>
        <v>0</v>
      </c>
    </row>
    <row r="39" spans="1:7" ht="18" hidden="1">
      <c r="A39" s="67">
        <v>38</v>
      </c>
      <c r="B39" s="143"/>
      <c r="C39" s="67" t="s">
        <v>98</v>
      </c>
      <c r="D39" s="67" t="s">
        <v>101</v>
      </c>
      <c r="E39" s="67">
        <f>Link!AA39</f>
        <v>0</v>
      </c>
      <c r="F39" s="68">
        <v>3500000</v>
      </c>
      <c r="G39" s="68">
        <f t="shared" si="0"/>
        <v>0</v>
      </c>
    </row>
    <row r="40" spans="1:7" ht="18" hidden="1">
      <c r="A40" s="67">
        <v>39</v>
      </c>
      <c r="B40" s="143" t="s">
        <v>31</v>
      </c>
      <c r="C40" s="67" t="s">
        <v>103</v>
      </c>
      <c r="D40" s="67" t="s">
        <v>104</v>
      </c>
      <c r="E40" s="67">
        <f>Link!AA40</f>
        <v>0</v>
      </c>
      <c r="F40" s="68">
        <v>2200000</v>
      </c>
      <c r="G40" s="68">
        <f t="shared" si="0"/>
        <v>0</v>
      </c>
    </row>
    <row r="41" spans="1:7" ht="18" hidden="1">
      <c r="A41" s="67">
        <v>40</v>
      </c>
      <c r="B41" s="143"/>
      <c r="C41" s="67" t="s">
        <v>42</v>
      </c>
      <c r="D41" s="67" t="s">
        <v>105</v>
      </c>
      <c r="E41" s="67">
        <f>Link!AA41</f>
        <v>0</v>
      </c>
      <c r="F41" s="68">
        <v>2200000</v>
      </c>
      <c r="G41" s="68">
        <f t="shared" si="0"/>
        <v>0</v>
      </c>
    </row>
    <row r="42" spans="1:7" ht="18" hidden="1">
      <c r="A42" s="67">
        <v>41</v>
      </c>
      <c r="B42" s="143" t="s">
        <v>106</v>
      </c>
      <c r="C42" s="67" t="s">
        <v>8</v>
      </c>
      <c r="D42" s="67" t="s">
        <v>107</v>
      </c>
      <c r="E42" s="67">
        <f>Link!AA42</f>
        <v>0</v>
      </c>
      <c r="F42" s="68">
        <v>2350000</v>
      </c>
      <c r="G42" s="68">
        <f t="shared" si="0"/>
        <v>0</v>
      </c>
    </row>
    <row r="43" spans="1:7" ht="18">
      <c r="A43" s="67">
        <v>42</v>
      </c>
      <c r="B43" s="143"/>
      <c r="C43" s="67" t="s">
        <v>9</v>
      </c>
      <c r="D43" s="67" t="s">
        <v>108</v>
      </c>
      <c r="E43" s="67">
        <f>Link!AA43</f>
        <v>1</v>
      </c>
      <c r="F43" s="68">
        <v>1850000</v>
      </c>
      <c r="G43" s="68">
        <f t="shared" si="0"/>
        <v>1850000</v>
      </c>
    </row>
    <row r="44" spans="1:7" ht="18" hidden="1">
      <c r="A44" s="67">
        <v>43</v>
      </c>
      <c r="B44" s="143"/>
      <c r="C44" s="67" t="s">
        <v>109</v>
      </c>
      <c r="D44" s="67" t="s">
        <v>110</v>
      </c>
      <c r="E44" s="67">
        <f>Link!AA44</f>
        <v>0</v>
      </c>
      <c r="F44" s="68">
        <v>1850000</v>
      </c>
      <c r="G44" s="68">
        <f t="shared" si="0"/>
        <v>0</v>
      </c>
    </row>
    <row r="45" spans="1:7" ht="18" hidden="1">
      <c r="A45" s="67">
        <v>44</v>
      </c>
      <c r="B45" s="143"/>
      <c r="C45" s="67" t="s">
        <v>10</v>
      </c>
      <c r="D45" s="67" t="s">
        <v>111</v>
      </c>
      <c r="E45" s="67">
        <f>Link!AA45</f>
        <v>0</v>
      </c>
      <c r="F45" s="68">
        <v>1850000</v>
      </c>
      <c r="G45" s="68">
        <f t="shared" si="0"/>
        <v>0</v>
      </c>
    </row>
    <row r="46" spans="1:7" ht="18">
      <c r="A46" s="67">
        <v>45</v>
      </c>
      <c r="B46" s="143"/>
      <c r="C46" s="67" t="s">
        <v>11</v>
      </c>
      <c r="D46" s="67" t="s">
        <v>112</v>
      </c>
      <c r="E46" s="67">
        <f>Link!AA46</f>
        <v>1</v>
      </c>
      <c r="F46" s="68">
        <v>1850000</v>
      </c>
      <c r="G46" s="68">
        <f t="shared" si="0"/>
        <v>1850000</v>
      </c>
    </row>
    <row r="47" spans="1:7" ht="18" hidden="1">
      <c r="A47" s="67">
        <v>46</v>
      </c>
      <c r="B47" s="143"/>
      <c r="C47" s="67" t="s">
        <v>113</v>
      </c>
      <c r="D47" s="67" t="s">
        <v>114</v>
      </c>
      <c r="E47" s="67">
        <f>Link!AA47</f>
        <v>0</v>
      </c>
      <c r="F47" s="68">
        <v>1250000</v>
      </c>
      <c r="G47" s="68">
        <f t="shared" si="0"/>
        <v>0</v>
      </c>
    </row>
    <row r="48" spans="1:7" ht="18" hidden="1">
      <c r="A48" s="67">
        <v>47</v>
      </c>
      <c r="B48" s="143"/>
      <c r="C48" s="67" t="s">
        <v>115</v>
      </c>
      <c r="D48" s="67" t="s">
        <v>116</v>
      </c>
      <c r="E48" s="67">
        <f>Link!AA48</f>
        <v>0</v>
      </c>
      <c r="F48" s="68">
        <v>1250000</v>
      </c>
      <c r="G48" s="68">
        <f t="shared" si="0"/>
        <v>0</v>
      </c>
    </row>
    <row r="49" spans="1:7" ht="18" hidden="1">
      <c r="A49" s="67">
        <v>48</v>
      </c>
      <c r="B49" s="143"/>
      <c r="C49" s="67" t="s">
        <v>117</v>
      </c>
      <c r="D49" s="67" t="s">
        <v>118</v>
      </c>
      <c r="E49" s="67">
        <f>Link!AA49</f>
        <v>0</v>
      </c>
      <c r="F49" s="68">
        <v>1250000</v>
      </c>
      <c r="G49" s="68">
        <f t="shared" si="0"/>
        <v>0</v>
      </c>
    </row>
    <row r="50" spans="1:7" ht="18" hidden="1">
      <c r="A50" s="67">
        <v>49</v>
      </c>
      <c r="B50" s="143"/>
      <c r="C50" s="67" t="s">
        <v>119</v>
      </c>
      <c r="D50" s="67" t="s">
        <v>120</v>
      </c>
      <c r="E50" s="67">
        <f>Link!AA50</f>
        <v>0</v>
      </c>
      <c r="F50" s="68">
        <v>1250000</v>
      </c>
      <c r="G50" s="68">
        <f t="shared" si="0"/>
        <v>0</v>
      </c>
    </row>
    <row r="51" spans="1:7" ht="18" hidden="1">
      <c r="A51" s="67">
        <v>50</v>
      </c>
      <c r="B51" s="143"/>
      <c r="C51" s="67" t="s">
        <v>121</v>
      </c>
      <c r="D51" s="67" t="s">
        <v>122</v>
      </c>
      <c r="E51" s="67">
        <f>Link!AA51</f>
        <v>0</v>
      </c>
      <c r="F51" s="68">
        <v>1250000</v>
      </c>
      <c r="G51" s="68">
        <f t="shared" si="0"/>
        <v>0</v>
      </c>
    </row>
    <row r="52" spans="1:7" ht="18" hidden="1">
      <c r="A52" s="67">
        <v>51</v>
      </c>
      <c r="B52" s="143" t="s">
        <v>123</v>
      </c>
      <c r="C52" s="67" t="s">
        <v>12</v>
      </c>
      <c r="D52" s="67" t="s">
        <v>43</v>
      </c>
      <c r="E52" s="67">
        <f>Link!AA52</f>
        <v>0</v>
      </c>
      <c r="F52" s="68">
        <v>550000</v>
      </c>
      <c r="G52" s="68">
        <f t="shared" si="0"/>
        <v>0</v>
      </c>
    </row>
    <row r="53" spans="1:7" ht="18" hidden="1">
      <c r="A53" s="67">
        <v>52</v>
      </c>
      <c r="B53" s="143"/>
      <c r="C53" s="67" t="s">
        <v>124</v>
      </c>
      <c r="D53" s="67" t="s">
        <v>125</v>
      </c>
      <c r="E53" s="67">
        <f>Link!AA53</f>
        <v>0</v>
      </c>
      <c r="F53" s="68">
        <v>550000</v>
      </c>
      <c r="G53" s="68">
        <f t="shared" si="0"/>
        <v>0</v>
      </c>
    </row>
    <row r="54" spans="1:7" ht="18">
      <c r="A54" s="67">
        <v>53</v>
      </c>
      <c r="B54" s="143"/>
      <c r="C54" s="67" t="s">
        <v>13</v>
      </c>
      <c r="D54" s="67" t="s">
        <v>44</v>
      </c>
      <c r="E54" s="67">
        <f>Link!AA54</f>
        <v>2</v>
      </c>
      <c r="F54" s="68">
        <v>550000</v>
      </c>
      <c r="G54" s="68">
        <f t="shared" si="0"/>
        <v>1100000</v>
      </c>
    </row>
    <row r="55" spans="1:7" ht="18" hidden="1">
      <c r="A55" s="67">
        <v>54</v>
      </c>
      <c r="B55" s="143"/>
      <c r="C55" s="67" t="s">
        <v>14</v>
      </c>
      <c r="D55" s="67" t="s">
        <v>45</v>
      </c>
      <c r="E55" s="67">
        <f>Link!AA55</f>
        <v>0</v>
      </c>
      <c r="F55" s="68">
        <v>550000</v>
      </c>
      <c r="G55" s="68">
        <f t="shared" si="0"/>
        <v>0</v>
      </c>
    </row>
    <row r="56" spans="1:7" ht="18">
      <c r="A56" s="67">
        <v>55</v>
      </c>
      <c r="B56" s="143"/>
      <c r="C56" s="67" t="s">
        <v>15</v>
      </c>
      <c r="D56" s="67" t="s">
        <v>46</v>
      </c>
      <c r="E56" s="67">
        <f>Link!AA56</f>
        <v>1</v>
      </c>
      <c r="F56" s="68">
        <v>550000</v>
      </c>
      <c r="G56" s="68">
        <f t="shared" si="0"/>
        <v>550000</v>
      </c>
    </row>
    <row r="57" spans="1:7" ht="18">
      <c r="A57" s="67">
        <v>56</v>
      </c>
      <c r="B57" s="143"/>
      <c r="C57" s="67" t="s">
        <v>16</v>
      </c>
      <c r="D57" s="67" t="s">
        <v>47</v>
      </c>
      <c r="E57" s="67">
        <f>Link!AA57</f>
        <v>1</v>
      </c>
      <c r="F57" s="68">
        <v>550000</v>
      </c>
      <c r="G57" s="68">
        <f t="shared" si="0"/>
        <v>550000</v>
      </c>
    </row>
    <row r="58" spans="1:7" ht="18" hidden="1">
      <c r="A58" s="67">
        <v>57</v>
      </c>
      <c r="B58" s="143"/>
      <c r="C58" s="67" t="s">
        <v>126</v>
      </c>
      <c r="D58" s="67" t="s">
        <v>127</v>
      </c>
      <c r="E58" s="67">
        <f>Link!AA58</f>
        <v>0</v>
      </c>
      <c r="F58" s="68">
        <v>550000</v>
      </c>
      <c r="G58" s="68">
        <f t="shared" si="0"/>
        <v>0</v>
      </c>
    </row>
    <row r="59" spans="1:7" ht="18" hidden="1">
      <c r="A59" s="67">
        <v>58</v>
      </c>
      <c r="B59" s="143"/>
      <c r="C59" s="67" t="s">
        <v>17</v>
      </c>
      <c r="D59" s="67" t="s">
        <v>29</v>
      </c>
      <c r="E59" s="67">
        <f>Link!AA59</f>
        <v>0</v>
      </c>
      <c r="F59" s="68">
        <v>550000</v>
      </c>
      <c r="G59" s="68">
        <f t="shared" si="0"/>
        <v>0</v>
      </c>
    </row>
    <row r="60" spans="1:7" ht="18" hidden="1">
      <c r="A60" s="67">
        <v>59</v>
      </c>
      <c r="B60" s="143"/>
      <c r="C60" s="67" t="s">
        <v>128</v>
      </c>
      <c r="D60" s="67" t="s">
        <v>29</v>
      </c>
      <c r="E60" s="67">
        <f>Link!AA60</f>
        <v>0</v>
      </c>
      <c r="F60" s="68">
        <v>550000</v>
      </c>
      <c r="G60" s="68">
        <f t="shared" si="0"/>
        <v>0</v>
      </c>
    </row>
    <row r="61" spans="1:7" ht="18">
      <c r="A61" s="67">
        <v>60</v>
      </c>
      <c r="B61" s="143"/>
      <c r="C61" s="67" t="s">
        <v>18</v>
      </c>
      <c r="D61" s="67" t="s">
        <v>29</v>
      </c>
      <c r="E61" s="67">
        <f>Link!AA61</f>
        <v>1</v>
      </c>
      <c r="F61" s="68">
        <v>550000</v>
      </c>
      <c r="G61" s="68">
        <f t="shared" si="0"/>
        <v>550000</v>
      </c>
    </row>
    <row r="62" spans="1:7" ht="18" hidden="1">
      <c r="A62" s="67">
        <v>61</v>
      </c>
      <c r="B62" s="143"/>
      <c r="C62" s="67" t="s">
        <v>19</v>
      </c>
      <c r="D62" s="67" t="s">
        <v>29</v>
      </c>
      <c r="E62" s="67">
        <f>Link!AA62</f>
        <v>0</v>
      </c>
      <c r="F62" s="68">
        <v>550000</v>
      </c>
      <c r="G62" s="68">
        <f t="shared" si="0"/>
        <v>0</v>
      </c>
    </row>
    <row r="63" spans="1:7" ht="18">
      <c r="A63" s="67">
        <v>62</v>
      </c>
      <c r="B63" s="143" t="s">
        <v>48</v>
      </c>
      <c r="C63" s="67" t="s">
        <v>20</v>
      </c>
      <c r="D63" s="67" t="s">
        <v>129</v>
      </c>
      <c r="E63" s="67">
        <f>Link!AA63</f>
        <v>3</v>
      </c>
      <c r="F63" s="70">
        <v>880000</v>
      </c>
      <c r="G63" s="68">
        <f t="shared" si="0"/>
        <v>2640000</v>
      </c>
    </row>
    <row r="64" spans="1:7" ht="18">
      <c r="A64" s="67">
        <v>63</v>
      </c>
      <c r="B64" s="143"/>
      <c r="C64" s="67" t="s">
        <v>130</v>
      </c>
      <c r="D64" s="67" t="s">
        <v>131</v>
      </c>
      <c r="E64" s="67">
        <f>Link!AA64</f>
        <v>1</v>
      </c>
      <c r="F64" s="70">
        <v>770000</v>
      </c>
      <c r="G64" s="68">
        <f t="shared" si="0"/>
        <v>770000</v>
      </c>
    </row>
    <row r="65" spans="1:7" ht="18" hidden="1">
      <c r="A65" s="67">
        <v>64</v>
      </c>
      <c r="B65" s="143"/>
      <c r="C65" s="67" t="s">
        <v>132</v>
      </c>
      <c r="D65" s="67" t="s">
        <v>476</v>
      </c>
      <c r="E65" s="67">
        <f>Link!AA65</f>
        <v>0</v>
      </c>
      <c r="F65" s="68"/>
      <c r="G65" s="68">
        <f t="shared" si="0"/>
        <v>0</v>
      </c>
    </row>
    <row r="66" spans="1:7" ht="18" hidden="1">
      <c r="A66" s="67">
        <v>65</v>
      </c>
      <c r="B66" s="143"/>
      <c r="C66" s="67" t="s">
        <v>21</v>
      </c>
      <c r="D66" s="67" t="s">
        <v>476</v>
      </c>
      <c r="E66" s="67">
        <f>Link!AA66</f>
        <v>0</v>
      </c>
      <c r="F66" s="68"/>
      <c r="G66" s="68">
        <f t="shared" si="0"/>
        <v>0</v>
      </c>
    </row>
    <row r="67" spans="1:7" ht="18" hidden="1">
      <c r="A67" s="67">
        <v>66</v>
      </c>
      <c r="B67" s="143"/>
      <c r="C67" s="67" t="s">
        <v>134</v>
      </c>
      <c r="D67" s="67" t="s">
        <v>476</v>
      </c>
      <c r="E67" s="67">
        <f>Link!AA67</f>
        <v>0</v>
      </c>
      <c r="F67" s="68"/>
      <c r="G67" s="68">
        <f t="shared" ref="G67:G97" si="1">E67*F67</f>
        <v>0</v>
      </c>
    </row>
    <row r="68" spans="1:7" ht="18" hidden="1">
      <c r="A68" s="67">
        <v>67</v>
      </c>
      <c r="B68" s="143"/>
      <c r="C68" s="67" t="s">
        <v>135</v>
      </c>
      <c r="D68" s="67" t="s">
        <v>476</v>
      </c>
      <c r="E68" s="67">
        <f>Link!AA68</f>
        <v>0</v>
      </c>
      <c r="F68" s="68"/>
      <c r="G68" s="68">
        <f t="shared" si="1"/>
        <v>0</v>
      </c>
    </row>
    <row r="69" spans="1:7" ht="18" hidden="1">
      <c r="A69" s="67">
        <v>68</v>
      </c>
      <c r="B69" s="143"/>
      <c r="C69" s="67" t="s">
        <v>136</v>
      </c>
      <c r="D69" s="67" t="s">
        <v>476</v>
      </c>
      <c r="E69" s="67">
        <f>Link!AA69</f>
        <v>0</v>
      </c>
      <c r="F69" s="68"/>
      <c r="G69" s="68">
        <f t="shared" si="1"/>
        <v>0</v>
      </c>
    </row>
    <row r="70" spans="1:7" ht="18" hidden="1">
      <c r="A70" s="67">
        <v>69</v>
      </c>
      <c r="B70" s="143"/>
      <c r="C70" s="67" t="s">
        <v>137</v>
      </c>
      <c r="D70" s="67" t="s">
        <v>476</v>
      </c>
      <c r="E70" s="67">
        <f>Link!AA70</f>
        <v>0</v>
      </c>
      <c r="F70" s="68"/>
      <c r="G70" s="68">
        <f t="shared" si="1"/>
        <v>0</v>
      </c>
    </row>
    <row r="71" spans="1:7" ht="18" hidden="1">
      <c r="A71" s="67">
        <v>70</v>
      </c>
      <c r="B71" s="143"/>
      <c r="C71" s="67" t="s">
        <v>138</v>
      </c>
      <c r="D71" s="67" t="s">
        <v>476</v>
      </c>
      <c r="E71" s="67">
        <f>Link!AA71</f>
        <v>0</v>
      </c>
      <c r="F71" s="68"/>
      <c r="G71" s="68">
        <f t="shared" si="1"/>
        <v>0</v>
      </c>
    </row>
    <row r="72" spans="1:7" ht="18" hidden="1">
      <c r="A72" s="67">
        <v>71</v>
      </c>
      <c r="B72" s="143"/>
      <c r="C72" s="67" t="s">
        <v>139</v>
      </c>
      <c r="D72" s="67" t="s">
        <v>476</v>
      </c>
      <c r="E72" s="67">
        <f>Link!AA72</f>
        <v>0</v>
      </c>
      <c r="F72" s="68"/>
      <c r="G72" s="68">
        <f t="shared" si="1"/>
        <v>0</v>
      </c>
    </row>
    <row r="73" spans="1:7" ht="18" hidden="1">
      <c r="A73" s="67">
        <v>72</v>
      </c>
      <c r="B73" s="143" t="s">
        <v>49</v>
      </c>
      <c r="C73" s="67" t="s">
        <v>140</v>
      </c>
      <c r="D73" s="67" t="s">
        <v>141</v>
      </c>
      <c r="E73" s="67">
        <f>Link!AA73</f>
        <v>0</v>
      </c>
      <c r="F73" s="68">
        <v>1100000</v>
      </c>
      <c r="G73" s="68">
        <f t="shared" si="1"/>
        <v>0</v>
      </c>
    </row>
    <row r="74" spans="1:7" ht="18">
      <c r="A74" s="67">
        <v>73</v>
      </c>
      <c r="B74" s="143"/>
      <c r="C74" s="67" t="s">
        <v>22</v>
      </c>
      <c r="D74" s="67" t="s">
        <v>142</v>
      </c>
      <c r="E74" s="67">
        <f>Link!AA74</f>
        <v>1</v>
      </c>
      <c r="F74" s="68">
        <v>1250000</v>
      </c>
      <c r="G74" s="68">
        <f t="shared" si="1"/>
        <v>1250000</v>
      </c>
    </row>
    <row r="75" spans="1:7" ht="18" hidden="1">
      <c r="A75" s="67">
        <v>74</v>
      </c>
      <c r="B75" s="143"/>
      <c r="C75" s="67" t="s">
        <v>143</v>
      </c>
      <c r="D75" s="67" t="s">
        <v>476</v>
      </c>
      <c r="E75" s="67">
        <f>Link!AA75</f>
        <v>0</v>
      </c>
      <c r="F75" s="68"/>
      <c r="G75" s="68">
        <f t="shared" si="1"/>
        <v>0</v>
      </c>
    </row>
    <row r="76" spans="1:7" ht="18" hidden="1">
      <c r="A76" s="67">
        <v>75</v>
      </c>
      <c r="B76" s="143"/>
      <c r="C76" s="67" t="s">
        <v>145</v>
      </c>
      <c r="D76" s="67" t="s">
        <v>476</v>
      </c>
      <c r="E76" s="67">
        <f>Link!AA76</f>
        <v>0</v>
      </c>
      <c r="F76" s="68"/>
      <c r="G76" s="68">
        <f t="shared" si="1"/>
        <v>0</v>
      </c>
    </row>
    <row r="77" spans="1:7" ht="18" hidden="1">
      <c r="A77" s="67">
        <v>76</v>
      </c>
      <c r="B77" s="143"/>
      <c r="C77" s="67" t="s">
        <v>23</v>
      </c>
      <c r="D77" s="67" t="s">
        <v>476</v>
      </c>
      <c r="E77" s="67">
        <f>Link!AA77</f>
        <v>0</v>
      </c>
      <c r="F77" s="68"/>
      <c r="G77" s="68">
        <f t="shared" si="1"/>
        <v>0</v>
      </c>
    </row>
    <row r="78" spans="1:7" ht="18" hidden="1">
      <c r="A78" s="67">
        <v>77</v>
      </c>
      <c r="B78" s="143"/>
      <c r="C78" s="67" t="s">
        <v>148</v>
      </c>
      <c r="D78" s="67" t="s">
        <v>476</v>
      </c>
      <c r="E78" s="67">
        <f>Link!AA78</f>
        <v>0</v>
      </c>
      <c r="F78" s="68"/>
      <c r="G78" s="68">
        <f t="shared" si="1"/>
        <v>0</v>
      </c>
    </row>
    <row r="79" spans="1:7" ht="18" hidden="1">
      <c r="A79" s="67">
        <v>78</v>
      </c>
      <c r="B79" s="143" t="s">
        <v>50</v>
      </c>
      <c r="C79" s="67" t="s">
        <v>25</v>
      </c>
      <c r="D79" s="67" t="s">
        <v>51</v>
      </c>
      <c r="E79" s="67">
        <f>Link!AA79</f>
        <v>0</v>
      </c>
      <c r="F79" s="68">
        <v>0</v>
      </c>
      <c r="G79" s="68">
        <f t="shared" si="1"/>
        <v>0</v>
      </c>
    </row>
    <row r="80" spans="1:7" ht="18">
      <c r="A80" s="67">
        <v>79</v>
      </c>
      <c r="B80" s="143"/>
      <c r="C80" s="67" t="s">
        <v>24</v>
      </c>
      <c r="D80" s="67" t="s">
        <v>30</v>
      </c>
      <c r="E80" s="67">
        <f>Link!AA80</f>
        <v>2</v>
      </c>
      <c r="F80" s="68">
        <v>0</v>
      </c>
      <c r="G80" s="68">
        <f t="shared" si="1"/>
        <v>0</v>
      </c>
    </row>
    <row r="81" spans="1:7" ht="18">
      <c r="A81" s="67">
        <v>80</v>
      </c>
      <c r="B81" s="143"/>
      <c r="C81" s="67" t="s">
        <v>26</v>
      </c>
      <c r="D81" s="67" t="s">
        <v>473</v>
      </c>
      <c r="E81" s="67">
        <f>Link!AA81</f>
        <v>2</v>
      </c>
      <c r="F81" s="68">
        <v>880000</v>
      </c>
      <c r="G81" s="68">
        <f t="shared" si="1"/>
        <v>1760000</v>
      </c>
    </row>
    <row r="82" spans="1:7" ht="18" hidden="1">
      <c r="A82" s="67">
        <v>81</v>
      </c>
      <c r="B82" s="143"/>
      <c r="C82" s="67" t="s">
        <v>27</v>
      </c>
      <c r="D82" s="67" t="s">
        <v>476</v>
      </c>
      <c r="E82" s="67">
        <f>Link!AA82</f>
        <v>0</v>
      </c>
      <c r="F82" s="68"/>
      <c r="G82" s="68">
        <f t="shared" si="1"/>
        <v>0</v>
      </c>
    </row>
    <row r="83" spans="1:7" ht="18" hidden="1">
      <c r="A83" s="116">
        <v>82</v>
      </c>
      <c r="B83" s="143"/>
      <c r="C83" s="67" t="s">
        <v>28</v>
      </c>
      <c r="D83" s="67" t="s">
        <v>476</v>
      </c>
      <c r="E83" s="67">
        <f>Link!AA83</f>
        <v>0</v>
      </c>
      <c r="F83" s="68"/>
      <c r="G83" s="68">
        <f t="shared" si="1"/>
        <v>0</v>
      </c>
    </row>
    <row r="84" spans="1:7" ht="18" hidden="1">
      <c r="A84" s="116">
        <v>83</v>
      </c>
      <c r="B84" s="143"/>
      <c r="C84" s="67" t="s">
        <v>161</v>
      </c>
      <c r="D84" s="67" t="s">
        <v>476</v>
      </c>
      <c r="E84" s="67">
        <f>Link!AA84</f>
        <v>0</v>
      </c>
      <c r="F84" s="68"/>
      <c r="G84" s="68">
        <f t="shared" si="1"/>
        <v>0</v>
      </c>
    </row>
    <row r="85" spans="1:7" ht="18" hidden="1">
      <c r="A85" s="116">
        <v>84</v>
      </c>
      <c r="B85" s="143" t="s">
        <v>150</v>
      </c>
      <c r="C85" s="67" t="s">
        <v>151</v>
      </c>
      <c r="D85" s="67" t="s">
        <v>152</v>
      </c>
      <c r="E85" s="67">
        <f>Link!AA85</f>
        <v>0</v>
      </c>
      <c r="F85" s="68">
        <v>1500000</v>
      </c>
      <c r="G85" s="68">
        <f t="shared" si="1"/>
        <v>0</v>
      </c>
    </row>
    <row r="86" spans="1:7" ht="18" hidden="1">
      <c r="A86" s="116">
        <v>85</v>
      </c>
      <c r="B86" s="143"/>
      <c r="C86" s="67" t="s">
        <v>153</v>
      </c>
      <c r="D86" s="67" t="s">
        <v>154</v>
      </c>
      <c r="E86" s="67">
        <f>Link!AA86</f>
        <v>0</v>
      </c>
      <c r="F86" s="68">
        <v>2000000</v>
      </c>
      <c r="G86" s="68">
        <f t="shared" si="1"/>
        <v>0</v>
      </c>
    </row>
    <row r="87" spans="1:7" ht="18" hidden="1">
      <c r="A87" s="116">
        <v>86</v>
      </c>
      <c r="B87" s="143"/>
      <c r="C87" s="67" t="s">
        <v>155</v>
      </c>
      <c r="D87" s="67" t="s">
        <v>156</v>
      </c>
      <c r="E87" s="67">
        <f>Link!AA87</f>
        <v>0</v>
      </c>
      <c r="F87" s="68">
        <v>2500000</v>
      </c>
      <c r="G87" s="68">
        <f t="shared" si="1"/>
        <v>0</v>
      </c>
    </row>
    <row r="88" spans="1:7" ht="18">
      <c r="A88" s="116">
        <v>87</v>
      </c>
      <c r="B88" s="67" t="s">
        <v>157</v>
      </c>
      <c r="C88" s="67" t="s">
        <v>158</v>
      </c>
      <c r="D88" s="67" t="s">
        <v>476</v>
      </c>
      <c r="E88" s="67">
        <f>Link!AA88</f>
        <v>1</v>
      </c>
      <c r="F88" s="68">
        <v>0</v>
      </c>
      <c r="G88" s="68">
        <f t="shared" si="1"/>
        <v>0</v>
      </c>
    </row>
    <row r="89" spans="1:7" ht="18">
      <c r="A89" s="116">
        <v>88</v>
      </c>
      <c r="B89" s="67" t="s">
        <v>159</v>
      </c>
      <c r="C89" s="67" t="s">
        <v>474</v>
      </c>
      <c r="D89" s="67" t="s">
        <v>475</v>
      </c>
      <c r="E89" s="67">
        <f>Link!AA89-2</f>
        <v>4</v>
      </c>
      <c r="F89" s="68">
        <v>220000</v>
      </c>
      <c r="G89" s="68">
        <f t="shared" si="1"/>
        <v>880000</v>
      </c>
    </row>
    <row r="90" spans="1:7" ht="18" hidden="1">
      <c r="A90" s="116">
        <v>89</v>
      </c>
      <c r="B90" s="144" t="s">
        <v>472</v>
      </c>
      <c r="C90" s="71" t="s">
        <v>478</v>
      </c>
      <c r="D90" s="72" t="s">
        <v>492</v>
      </c>
      <c r="E90" s="67">
        <v>0</v>
      </c>
      <c r="F90" s="68">
        <v>1100000</v>
      </c>
      <c r="G90" s="68">
        <f t="shared" si="1"/>
        <v>0</v>
      </c>
    </row>
    <row r="91" spans="1:7" ht="18" hidden="1">
      <c r="A91" s="116">
        <v>90</v>
      </c>
      <c r="B91" s="145"/>
      <c r="C91" s="71"/>
      <c r="D91" s="72" t="s">
        <v>493</v>
      </c>
      <c r="E91" s="67">
        <v>0</v>
      </c>
      <c r="F91" s="68">
        <v>2200000</v>
      </c>
      <c r="G91" s="68">
        <f t="shared" ref="G91" si="2">E91*F91</f>
        <v>0</v>
      </c>
    </row>
    <row r="92" spans="1:7" ht="18" hidden="1">
      <c r="A92" s="116">
        <v>91</v>
      </c>
      <c r="B92" s="145"/>
      <c r="C92" s="71" t="s">
        <v>479</v>
      </c>
      <c r="D92" s="72" t="s">
        <v>480</v>
      </c>
      <c r="E92" s="67">
        <v>0</v>
      </c>
      <c r="F92" s="68">
        <v>5000000</v>
      </c>
      <c r="G92" s="68">
        <f t="shared" si="1"/>
        <v>0</v>
      </c>
    </row>
    <row r="93" spans="1:7" ht="18" hidden="1">
      <c r="A93" s="116">
        <v>92</v>
      </c>
      <c r="B93" s="145"/>
      <c r="C93" s="71" t="s">
        <v>477</v>
      </c>
      <c r="D93" s="72" t="s">
        <v>481</v>
      </c>
      <c r="E93" s="67">
        <v>0</v>
      </c>
      <c r="F93" s="68">
        <v>1500000</v>
      </c>
      <c r="G93" s="68">
        <f t="shared" si="1"/>
        <v>0</v>
      </c>
    </row>
    <row r="94" spans="1:7" ht="18" hidden="1">
      <c r="A94" s="116">
        <v>93</v>
      </c>
      <c r="B94" s="145"/>
      <c r="C94" s="71" t="s">
        <v>482</v>
      </c>
      <c r="D94" s="72" t="s">
        <v>483</v>
      </c>
      <c r="E94" s="67">
        <v>0</v>
      </c>
      <c r="F94" s="68"/>
      <c r="G94" s="68">
        <f t="shared" si="1"/>
        <v>0</v>
      </c>
    </row>
    <row r="95" spans="1:7" ht="18" hidden="1">
      <c r="A95" s="116">
        <v>94</v>
      </c>
      <c r="B95" s="145"/>
      <c r="C95" s="71" t="s">
        <v>484</v>
      </c>
      <c r="D95" s="72" t="s">
        <v>485</v>
      </c>
      <c r="E95" s="67">
        <v>0</v>
      </c>
      <c r="F95" s="68"/>
      <c r="G95" s="68">
        <f t="shared" si="1"/>
        <v>0</v>
      </c>
    </row>
    <row r="96" spans="1:7" ht="18">
      <c r="A96" s="116">
        <v>95</v>
      </c>
      <c r="B96" s="145"/>
      <c r="C96" s="71" t="s">
        <v>487</v>
      </c>
      <c r="D96" s="72" t="s">
        <v>486</v>
      </c>
      <c r="E96" s="67"/>
      <c r="F96" s="68">
        <v>4000000</v>
      </c>
      <c r="G96" s="68"/>
    </row>
    <row r="97" spans="1:7" ht="18" hidden="1">
      <c r="A97" s="116">
        <v>96</v>
      </c>
      <c r="B97" s="146"/>
      <c r="C97" s="71" t="s">
        <v>488</v>
      </c>
      <c r="D97" s="72" t="s">
        <v>489</v>
      </c>
      <c r="E97" s="67">
        <v>0</v>
      </c>
      <c r="F97" s="68">
        <v>2000000</v>
      </c>
      <c r="G97" s="68">
        <f t="shared" si="1"/>
        <v>0</v>
      </c>
    </row>
    <row r="98" spans="1:7" ht="21">
      <c r="A98" s="141" t="s">
        <v>471</v>
      </c>
      <c r="B98" s="141"/>
      <c r="C98" s="141"/>
      <c r="D98" s="142"/>
      <c r="E98" s="147">
        <f>SUM(G2:G97)</f>
        <v>17050000</v>
      </c>
      <c r="F98" s="148"/>
      <c r="G98" s="149"/>
    </row>
    <row r="102" spans="1:7">
      <c r="D102" s="73" t="s">
        <v>490</v>
      </c>
    </row>
    <row r="103" spans="1:7">
      <c r="D103" s="73" t="s">
        <v>491</v>
      </c>
    </row>
  </sheetData>
  <autoFilter ref="A1:G103">
    <filterColumn colId="4">
      <customFilters>
        <customFilter operator="notEqual" val="0"/>
      </customFilters>
    </filterColumn>
  </autoFilter>
  <mergeCells count="14">
    <mergeCell ref="A98:D98"/>
    <mergeCell ref="E98:G98"/>
    <mergeCell ref="B90:B97"/>
    <mergeCell ref="B52:B62"/>
    <mergeCell ref="B63:B72"/>
    <mergeCell ref="B73:B78"/>
    <mergeCell ref="B79:B84"/>
    <mergeCell ref="B85:B87"/>
    <mergeCell ref="B42:B51"/>
    <mergeCell ref="B2:B18"/>
    <mergeCell ref="B19:B26"/>
    <mergeCell ref="B27:B33"/>
    <mergeCell ref="B34:B39"/>
    <mergeCell ref="B40:B41"/>
  </mergeCells>
  <pageMargins left="0.7" right="0.7" top="0.75" bottom="0.75" header="0.3" footer="0.3"/>
  <pageSetup orientation="portrait" r:id="rId1"/>
  <headerFooter>
    <oddHeader>&amp;Rفروشگاه : رشت- رودسر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Data</vt:lpstr>
      <vt:lpstr>راهنما</vt:lpstr>
      <vt:lpstr>Link</vt:lpstr>
      <vt:lpstr>Shop_CheckList</vt:lpstr>
      <vt:lpstr>SV_Karfarma</vt:lpstr>
      <vt:lpstr>SV_Nasab</vt:lpstr>
      <vt:lpstr>Shop_CheckList!Print_Titles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Mehdi Rahimi 14354</cp:lastModifiedBy>
  <cp:lastPrinted>2021-07-15T16:14:03Z</cp:lastPrinted>
  <dcterms:created xsi:type="dcterms:W3CDTF">2018-01-08T19:13:51Z</dcterms:created>
  <dcterms:modified xsi:type="dcterms:W3CDTF">2021-08-07T04:27:49Z</dcterms:modified>
</cp:coreProperties>
</file>